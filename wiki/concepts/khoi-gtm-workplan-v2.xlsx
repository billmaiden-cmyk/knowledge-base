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ntt Workplan" sheetId="1" state="visible" r:id="rId1"/>
    <sheet xmlns:r="http://schemas.openxmlformats.org/officeDocument/2006/relationships" name="Outcome Measures" sheetId="2" state="visible" r:id="rId2"/>
    <sheet xmlns:r="http://schemas.openxmlformats.org/officeDocument/2006/relationships" name="10 Buildings Roadmap" sheetId="3" state="visible" r:id="rId3"/>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Arial"/>
      <b val="1"/>
      <color rgb="00FFFFFF"/>
      <sz val="14"/>
    </font>
    <font>
      <name val="Arial"/>
      <b val="1"/>
      <color rgb="00FFFFFF"/>
      <sz val="11"/>
    </font>
    <font>
      <name val="Arial"/>
      <b val="1"/>
      <color rgb="00FFFFFF"/>
      <sz val="8"/>
    </font>
    <font>
      <name val="Arial"/>
      <color rgb="00666666"/>
      <sz val="7"/>
    </font>
    <font>
      <name val="Arial"/>
      <b val="1"/>
      <color rgb="00FFFFFF"/>
      <sz val="10"/>
    </font>
    <font>
      <name val="Arial"/>
      <b val="1"/>
      <sz val="10"/>
    </font>
    <font>
      <name val="Arial"/>
      <sz val="9"/>
    </font>
    <font>
      <name val="Arial"/>
      <sz val="10"/>
    </font>
    <font>
      <name val="Arial"/>
      <color rgb="004472C4"/>
      <sz val="7"/>
    </font>
    <font>
      <name val="Arial"/>
      <color rgb="00ED7D31"/>
      <sz val="7"/>
    </font>
    <font>
      <name val="Arial"/>
      <color rgb="0070AD47"/>
      <sz val="7"/>
    </font>
    <font>
      <name val="Arial"/>
      <color rgb="007030A0"/>
      <sz val="7"/>
    </font>
    <font>
      <name val="Arial"/>
      <color rgb="00FF4444"/>
      <sz val="7"/>
    </font>
    <font>
      <name val="Arial"/>
      <color rgb="00A5A5A5"/>
      <sz val="7"/>
    </font>
    <font>
      <name val="Arial"/>
      <b val="1"/>
      <color rgb="001F3864"/>
      <sz val="11"/>
    </font>
    <font>
      <name val="Arial"/>
      <b val="1"/>
      <color rgb="00ED7D31"/>
      <sz val="9"/>
    </font>
    <font>
      <name val="Arial"/>
      <b val="1"/>
      <color rgb="004472C4"/>
      <sz val="9"/>
    </font>
    <font>
      <name val="Arial"/>
      <b val="1"/>
      <color rgb="00FFFFFF"/>
      <sz val="12"/>
    </font>
    <font>
      <name val="Arial"/>
      <b val="1"/>
      <color rgb="00C00000"/>
      <sz val="11"/>
    </font>
    <font>
      <name val="Arial"/>
      <b val="1"/>
      <color rgb="00375623"/>
      <sz val="11"/>
    </font>
    <font>
      <name val="Arial"/>
      <b val="1"/>
      <color rgb="004472C4"/>
      <sz val="24"/>
    </font>
    <font>
      <name val="Arial"/>
      <b val="1"/>
      <color rgb="00375623"/>
      <sz val="14"/>
    </font>
    <font>
      <name val="Arial"/>
      <b val="1"/>
      <color rgb="00375623"/>
      <sz val="10"/>
    </font>
    <font>
      <name val="Arial"/>
      <b val="1"/>
      <i val="1"/>
      <color rgb="00C00000"/>
      <sz val="10"/>
    </font>
    <font>
      <name val="Arial"/>
      <b val="1"/>
      <i val="1"/>
      <color rgb="003A7560"/>
      <sz val="10"/>
    </font>
    <font>
      <name val="Arial"/>
      <sz val="11"/>
    </font>
    <font>
      <name val="Arial"/>
      <b val="1"/>
      <i val="1"/>
      <color rgb="00242628"/>
      <sz val="10"/>
    </font>
  </fonts>
  <fills count="25">
    <fill>
      <patternFill/>
    </fill>
    <fill>
      <patternFill patternType="gray125"/>
    </fill>
    <fill>
      <patternFill patternType="solid">
        <fgColor rgb="001F3864"/>
      </patternFill>
    </fill>
    <fill>
      <patternFill patternType="solid">
        <fgColor rgb="002F5496"/>
      </patternFill>
    </fill>
    <fill>
      <patternFill patternType="solid">
        <fgColor rgb="00E9EDF4"/>
      </patternFill>
    </fill>
    <fill>
      <patternFill patternType="solid">
        <fgColor rgb="004472C4"/>
      </patternFill>
    </fill>
    <fill>
      <patternFill patternType="solid">
        <fgColor rgb="00D9E2F3"/>
      </patternFill>
    </fill>
    <fill>
      <patternFill patternType="solid">
        <fgColor rgb="00FFFFFF"/>
      </patternFill>
    </fill>
    <fill>
      <patternFill patternType="solid">
        <fgColor rgb="00ED7D31"/>
      </patternFill>
    </fill>
    <fill>
      <patternFill patternType="solid">
        <fgColor rgb="00FCE4D6"/>
      </patternFill>
    </fill>
    <fill>
      <patternFill patternType="solid">
        <fgColor rgb="0070AD47"/>
      </patternFill>
    </fill>
    <fill>
      <patternFill patternType="solid">
        <fgColor rgb="00E2EFDA"/>
      </patternFill>
    </fill>
    <fill>
      <patternFill patternType="solid">
        <fgColor rgb="007030A0"/>
      </patternFill>
    </fill>
    <fill>
      <patternFill patternType="solid">
        <fgColor rgb="00E4DFEC"/>
      </patternFill>
    </fill>
    <fill>
      <patternFill patternType="solid">
        <fgColor rgb="00FF4444"/>
      </patternFill>
    </fill>
    <fill>
      <patternFill patternType="solid">
        <fgColor rgb="00FBE5D6"/>
      </patternFill>
    </fill>
    <fill>
      <patternFill patternType="solid">
        <fgColor rgb="00A5A5A5"/>
      </patternFill>
    </fill>
    <fill>
      <patternFill patternType="solid">
        <fgColor rgb="00EDEDED"/>
      </patternFill>
    </fill>
    <fill>
      <patternFill patternType="solid">
        <fgColor rgb="00D6DCE4"/>
      </patternFill>
    </fill>
    <fill>
      <patternFill patternType="solid">
        <fgColor rgb="00FFF2CC"/>
      </patternFill>
    </fill>
    <fill>
      <patternFill patternType="solid">
        <fgColor rgb="00C00000"/>
      </patternFill>
    </fill>
    <fill>
      <patternFill patternType="solid">
        <fgColor rgb="00FFC7CE"/>
      </patternFill>
    </fill>
    <fill>
      <patternFill patternType="solid">
        <fgColor rgb="00375623"/>
      </patternFill>
    </fill>
    <fill>
      <patternFill patternType="solid">
        <fgColor rgb="00C6EFCE"/>
      </patternFill>
    </fill>
    <fill>
      <patternFill patternType="solid">
        <fgColor rgb="00242628"/>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7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4" borderId="1" pivotButton="0" quotePrefix="0" xfId="0"/>
    <xf numFmtId="0" fontId="4" fillId="4" borderId="1" applyAlignment="1" pivotButton="0" quotePrefix="0" xfId="0">
      <alignment horizontal="center" vertical="center" wrapText="1"/>
    </xf>
    <xf numFmtId="0" fontId="5" fillId="5" borderId="1" applyAlignment="1" pivotButton="0" quotePrefix="0" xfId="0">
      <alignment vertical="center"/>
    </xf>
    <xf numFmtId="0" fontId="0" fillId="5" borderId="1" pivotButton="0" quotePrefix="0" xfId="0"/>
    <xf numFmtId="0" fontId="6"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9" fillId="6" borderId="1" applyAlignment="1" pivotButton="0" quotePrefix="0" xfId="0">
      <alignment horizontal="center" vertical="center" wrapText="1"/>
    </xf>
    <xf numFmtId="0" fontId="0" fillId="6" borderId="1" pivotButton="0" quotePrefix="0" xfId="0"/>
    <xf numFmtId="0" fontId="0" fillId="7" borderId="1" pivotButton="0" quotePrefix="0" xfId="0"/>
    <xf numFmtId="0" fontId="5" fillId="8" borderId="1" applyAlignment="1" pivotButton="0" quotePrefix="0" xfId="0">
      <alignment vertical="center"/>
    </xf>
    <xf numFmtId="0" fontId="0" fillId="8" borderId="1" pivotButton="0" quotePrefix="0" xfId="0"/>
    <xf numFmtId="0" fontId="10" fillId="9" borderId="1" applyAlignment="1" pivotButton="0" quotePrefix="0" xfId="0">
      <alignment horizontal="center" vertical="center" wrapText="1"/>
    </xf>
    <xf numFmtId="0" fontId="0" fillId="9" borderId="1" pivotButton="0" quotePrefix="0" xfId="0"/>
    <xf numFmtId="0" fontId="5" fillId="10" borderId="1" applyAlignment="1" pivotButton="0" quotePrefix="0" xfId="0">
      <alignment vertical="center"/>
    </xf>
    <xf numFmtId="0" fontId="0" fillId="10" borderId="1" pivotButton="0" quotePrefix="0" xfId="0"/>
    <xf numFmtId="0" fontId="11" fillId="11" borderId="1" applyAlignment="1" pivotButton="0" quotePrefix="0" xfId="0">
      <alignment horizontal="center" vertical="center" wrapText="1"/>
    </xf>
    <xf numFmtId="0" fontId="0" fillId="11" borderId="1" pivotButton="0" quotePrefix="0" xfId="0"/>
    <xf numFmtId="0" fontId="5" fillId="12" borderId="1" applyAlignment="1" pivotButton="0" quotePrefix="0" xfId="0">
      <alignment vertical="center"/>
    </xf>
    <xf numFmtId="0" fontId="0" fillId="12" borderId="1" pivotButton="0" quotePrefix="0" xfId="0"/>
    <xf numFmtId="0" fontId="12" fillId="13" borderId="1" applyAlignment="1" pivotButton="0" quotePrefix="0" xfId="0">
      <alignment horizontal="center" vertical="center" wrapText="1"/>
    </xf>
    <xf numFmtId="0" fontId="0" fillId="13" borderId="1" pivotButton="0" quotePrefix="0" xfId="0"/>
    <xf numFmtId="0" fontId="5" fillId="14" borderId="1" applyAlignment="1" pivotButton="0" quotePrefix="0" xfId="0">
      <alignment vertical="center"/>
    </xf>
    <xf numFmtId="0" fontId="0" fillId="14" borderId="1" pivotButton="0" quotePrefix="0" xfId="0"/>
    <xf numFmtId="0" fontId="13" fillId="15" borderId="1" applyAlignment="1" pivotButton="0" quotePrefix="0" xfId="0">
      <alignment horizontal="center" vertical="center" wrapText="1"/>
    </xf>
    <xf numFmtId="0" fontId="0" fillId="15" borderId="1" pivotButton="0" quotePrefix="0" xfId="0"/>
    <xf numFmtId="0" fontId="5" fillId="16" borderId="1" applyAlignment="1" pivotButton="0" quotePrefix="0" xfId="0">
      <alignment vertical="center"/>
    </xf>
    <xf numFmtId="0" fontId="0" fillId="16" borderId="1" pivotButton="0" quotePrefix="0" xfId="0"/>
    <xf numFmtId="0" fontId="14" fillId="17" borderId="1" applyAlignment="1" pivotButton="0" quotePrefix="0" xfId="0">
      <alignment horizontal="center" vertical="center" wrapText="1"/>
    </xf>
    <xf numFmtId="0" fontId="0" fillId="17" borderId="1" pivotButton="0" quotePrefix="0" xfId="0"/>
    <xf numFmtId="0" fontId="15" fillId="18" borderId="0" pivotButton="0" quotePrefix="0" xfId="0"/>
    <xf numFmtId="0" fontId="8" fillId="19" borderId="1" applyAlignment="1" pivotButton="0" quotePrefix="0" xfId="0">
      <alignment horizontal="center" vertical="center" wrapText="1"/>
    </xf>
    <xf numFmtId="0" fontId="6" fillId="18" borderId="1" applyAlignment="1" pivotButton="0" quotePrefix="0" xfId="0">
      <alignment horizontal="center" vertical="center" wrapText="1"/>
    </xf>
    <xf numFmtId="0" fontId="0" fillId="0" borderId="1"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6" fillId="0" borderId="1" applyAlignment="1" pivotButton="0" quotePrefix="0" xfId="0">
      <alignment horizontal="left" vertical="center"/>
    </xf>
    <xf numFmtId="0" fontId="6" fillId="11" borderId="1" applyAlignment="1" pivotButton="0" quotePrefix="0" xfId="0">
      <alignment horizontal="left" vertical="center"/>
    </xf>
    <xf numFmtId="0" fontId="6" fillId="11" borderId="1" applyAlignment="1" pivotButton="0" quotePrefix="0" xfId="0">
      <alignment horizontal="center" vertical="center" wrapText="1"/>
    </xf>
    <xf numFmtId="0" fontId="6" fillId="19" borderId="1" applyAlignment="1" pivotButton="0" quotePrefix="0" xfId="0">
      <alignment horizontal="center" vertical="center" wrapText="1"/>
    </xf>
    <xf numFmtId="0" fontId="5" fillId="10" borderId="1" pivotButton="0" quotePrefix="0" xfId="0"/>
    <xf numFmtId="0" fontId="8" fillId="0" borderId="1" pivotButton="0" quotePrefix="0" xfId="0"/>
    <xf numFmtId="0" fontId="0" fillId="0" borderId="1" pivotButton="0" quotePrefix="0" xfId="0"/>
    <xf numFmtId="0" fontId="5" fillId="12" borderId="1" pivotButton="0" quotePrefix="0" xfId="0"/>
    <xf numFmtId="0" fontId="5" fillId="14" borderId="1" pivotButton="0" quotePrefix="0" xfId="0"/>
    <xf numFmtId="0" fontId="18" fillId="20" borderId="0" applyAlignment="1" pivotButton="0" quotePrefix="0" xfId="0">
      <alignment horizontal="center" vertical="center" wrapText="1"/>
    </xf>
    <xf numFmtId="0" fontId="0" fillId="20" borderId="0" pivotButton="0" quotePrefix="0" xfId="0"/>
    <xf numFmtId="0" fontId="18" fillId="22" borderId="0" applyAlignment="1" pivotButton="0" quotePrefix="0" xfId="0">
      <alignment horizontal="center" vertical="center" wrapText="1"/>
    </xf>
    <xf numFmtId="0" fontId="0" fillId="22" borderId="0" pivotButton="0" quotePrefix="0" xfId="0"/>
    <xf numFmtId="0" fontId="6" fillId="0" borderId="1" pivotButton="0" quotePrefix="0" xfId="0"/>
    <xf numFmtId="0" fontId="19" fillId="21" borderId="1" applyAlignment="1" pivotButton="0" quotePrefix="0" xfId="0">
      <alignment horizontal="center" vertical="center" wrapText="1"/>
    </xf>
    <xf numFmtId="0" fontId="20" fillId="23" borderId="1" applyAlignment="1" pivotButton="0" quotePrefix="0" xfId="0">
      <alignment horizontal="center" vertical="center" wrapText="1"/>
    </xf>
    <xf numFmtId="0" fontId="21" fillId="0" borderId="0" applyAlignment="1" pivotButton="0" quotePrefix="0" xfId="0">
      <alignment horizontal="center" vertical="center" wrapText="1"/>
    </xf>
    <xf numFmtId="0" fontId="0" fillId="23" borderId="1" pivotButton="0" quotePrefix="0" xfId="0"/>
    <xf numFmtId="0" fontId="22" fillId="23" borderId="1" applyAlignment="1" pivotButton="0" quotePrefix="0" xfId="0">
      <alignment horizontal="center" vertical="center" wrapText="1"/>
    </xf>
    <xf numFmtId="0" fontId="23" fillId="23" borderId="1" applyAlignment="1" pivotButton="0" quotePrefix="0" xfId="0">
      <alignment horizontal="center" vertical="center" wrapText="1"/>
    </xf>
    <xf numFmtId="0" fontId="6" fillId="11" borderId="1" pivotButton="0" quotePrefix="0" xfId="0"/>
    <xf numFmtId="0" fontId="24" fillId="0" borderId="0" applyAlignment="1" pivotButton="0" quotePrefix="0" xfId="0">
      <alignment horizontal="center" vertical="center" wrapText="1"/>
    </xf>
    <xf numFmtId="0" fontId="0" fillId="0" borderId="4" pivotButton="0" quotePrefix="0" xfId="0"/>
    <xf numFmtId="0" fontId="0" fillId="0" borderId="5" pivotButton="0" quotePrefix="0" xfId="0"/>
    <xf numFmtId="0" fontId="5" fillId="24" borderId="1" pivotButton="0" quotePrefix="0" xfId="0"/>
    <xf numFmtId="0" fontId="0" fillId="24" borderId="1" pivotButton="0" quotePrefix="0" xfId="0"/>
    <xf numFmtId="0" fontId="25" fillId="0" borderId="0" applyAlignment="1" pivotButton="0" quotePrefix="0" xfId="0">
      <alignment horizontal="left" vertical="center" wrapText="1"/>
    </xf>
    <xf numFmtId="0" fontId="26" fillId="0" borderId="0" applyAlignment="1" pivotButton="0" quotePrefix="0" xfId="0">
      <alignment vertical="center" wrapText="1"/>
    </xf>
    <xf numFmtId="0" fontId="5" fillId="24" borderId="1" applyAlignment="1" pivotButton="0" quotePrefix="0" xfId="0">
      <alignment horizontal="center" vertical="center" wrapText="1"/>
    </xf>
    <xf numFmtId="0" fontId="27" fillId="23" borderId="0" applyAlignment="1" pivotButton="0" quotePrefix="0" xfId="0">
      <alignment horizontal="center" vertical="center" wrapText="1"/>
    </xf>
    <xf numFmtId="0" fontId="0" fillId="2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4"/>
  <sheetViews>
    <sheetView workbookViewId="0">
      <pane xSplit="7" ySplit="3" topLeftCell="H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55" customWidth="1" min="3" max="3"/>
    <col width="12" customWidth="1" min="4" max="4"/>
    <col width="6" customWidth="1" min="5" max="5"/>
    <col width="6" customWidth="1" min="6" max="6"/>
    <col width="32"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s>
  <sheetData>
    <row r="1">
      <c r="A1" s="1" t="inlineStr">
        <is>
          <t>MTS GTM Workplan — Khoi Nguyen  |  April–October 2026  |  Target: 10 buildings/month</t>
        </is>
      </c>
    </row>
    <row r="2">
      <c r="A2" s="2" t="inlineStr">
        <is>
          <t>ID</t>
        </is>
      </c>
      <c r="B2" s="2" t="inlineStr">
        <is>
          <t>Workstream</t>
        </is>
      </c>
      <c r="C2" s="2" t="inlineStr">
        <is>
          <t>Task</t>
        </is>
      </c>
      <c r="D2" s="2" t="inlineStr">
        <is>
          <t>Owner</t>
        </is>
      </c>
      <c r="E2" s="2" t="inlineStr">
        <is>
          <t>Start</t>
        </is>
      </c>
      <c r="F2" s="2" t="inlineStr">
        <is>
          <t>End</t>
        </is>
      </c>
      <c r="G2" s="2" t="inlineStr">
        <is>
          <t>Deliverable</t>
        </is>
      </c>
      <c r="H2" s="3" t="inlineStr">
        <is>
          <t>W1</t>
        </is>
      </c>
      <c r="I2" s="3" t="inlineStr">
        <is>
          <t>W2</t>
        </is>
      </c>
      <c r="J2" s="3" t="inlineStr">
        <is>
          <t>W3</t>
        </is>
      </c>
      <c r="K2" s="3" t="inlineStr">
        <is>
          <t>W4</t>
        </is>
      </c>
      <c r="L2" s="3" t="inlineStr">
        <is>
          <t>W5</t>
        </is>
      </c>
      <c r="M2" s="3" t="inlineStr">
        <is>
          <t>W6</t>
        </is>
      </c>
      <c r="N2" s="3" t="inlineStr">
        <is>
          <t>W7</t>
        </is>
      </c>
      <c r="O2" s="3" t="inlineStr">
        <is>
          <t>W8</t>
        </is>
      </c>
      <c r="P2" s="3" t="inlineStr">
        <is>
          <t>W9</t>
        </is>
      </c>
      <c r="Q2" s="3" t="inlineStr">
        <is>
          <t>W10</t>
        </is>
      </c>
      <c r="R2" s="3" t="inlineStr">
        <is>
          <t>W11</t>
        </is>
      </c>
      <c r="S2" s="3" t="inlineStr">
        <is>
          <t>W12</t>
        </is>
      </c>
      <c r="T2" s="3" t="inlineStr">
        <is>
          <t>W13</t>
        </is>
      </c>
      <c r="U2" s="3" t="inlineStr">
        <is>
          <t>W14</t>
        </is>
      </c>
      <c r="V2" s="3" t="inlineStr">
        <is>
          <t>W15</t>
        </is>
      </c>
      <c r="W2" s="3" t="inlineStr">
        <is>
          <t>W16</t>
        </is>
      </c>
      <c r="X2" s="3" t="inlineStr">
        <is>
          <t>W17</t>
        </is>
      </c>
      <c r="Y2" s="3" t="inlineStr">
        <is>
          <t>W18</t>
        </is>
      </c>
      <c r="Z2" s="3" t="inlineStr">
        <is>
          <t>W19</t>
        </is>
      </c>
      <c r="AA2" s="3" t="inlineStr">
        <is>
          <t>W20</t>
        </is>
      </c>
      <c r="AB2" s="3" t="inlineStr">
        <is>
          <t>W21</t>
        </is>
      </c>
      <c r="AC2" s="3" t="inlineStr">
        <is>
          <t>W22</t>
        </is>
      </c>
      <c r="AD2" s="3" t="inlineStr">
        <is>
          <t>W23</t>
        </is>
      </c>
      <c r="AE2" s="3" t="inlineStr">
        <is>
          <t>W24</t>
        </is>
      </c>
      <c r="AF2" s="3" t="inlineStr">
        <is>
          <t>W25</t>
        </is>
      </c>
      <c r="AG2" s="3" t="inlineStr">
        <is>
          <t>W26</t>
        </is>
      </c>
    </row>
    <row r="3">
      <c r="A3" s="4" t="n"/>
      <c r="B3" s="4" t="n"/>
      <c r="C3" s="4" t="n"/>
      <c r="D3" s="4" t="n"/>
      <c r="E3" s="4" t="n"/>
      <c r="F3" s="4" t="n"/>
      <c r="G3" s="4" t="n"/>
      <c r="H3" s="5" t="inlineStr">
        <is>
          <t>14 Apr</t>
        </is>
      </c>
      <c r="I3" s="5" t="inlineStr">
        <is>
          <t>21 Apr</t>
        </is>
      </c>
      <c r="J3" s="5" t="inlineStr">
        <is>
          <t>28 Apr</t>
        </is>
      </c>
      <c r="K3" s="5" t="inlineStr">
        <is>
          <t>5 May</t>
        </is>
      </c>
      <c r="L3" s="5" t="inlineStr">
        <is>
          <t>12 May</t>
        </is>
      </c>
      <c r="M3" s="5" t="inlineStr">
        <is>
          <t>19 May</t>
        </is>
      </c>
      <c r="N3" s="5" t="inlineStr">
        <is>
          <t>26 May</t>
        </is>
      </c>
      <c r="O3" s="5" t="inlineStr">
        <is>
          <t>2 Jun</t>
        </is>
      </c>
      <c r="P3" s="5" t="inlineStr">
        <is>
          <t>9 Jun</t>
        </is>
      </c>
      <c r="Q3" s="5" t="inlineStr">
        <is>
          <t>16 Jun</t>
        </is>
      </c>
      <c r="R3" s="5" t="inlineStr">
        <is>
          <t>23 Jun</t>
        </is>
      </c>
      <c r="S3" s="5" t="inlineStr">
        <is>
          <t>30 Jun</t>
        </is>
      </c>
      <c r="T3" s="5" t="inlineStr">
        <is>
          <t>7 Jul</t>
        </is>
      </c>
      <c r="U3" s="5" t="inlineStr">
        <is>
          <t>14 Jul</t>
        </is>
      </c>
      <c r="V3" s="5" t="inlineStr">
        <is>
          <t>21 Jul</t>
        </is>
      </c>
      <c r="W3" s="5" t="inlineStr">
        <is>
          <t>28 Jul</t>
        </is>
      </c>
      <c r="X3" s="5" t="inlineStr">
        <is>
          <t>4 Aug</t>
        </is>
      </c>
      <c r="Y3" s="5" t="inlineStr">
        <is>
          <t>11 Aug</t>
        </is>
      </c>
      <c r="Z3" s="5" t="inlineStr">
        <is>
          <t>18 Aug</t>
        </is>
      </c>
      <c r="AA3" s="5" t="inlineStr">
        <is>
          <t>25 Aug</t>
        </is>
      </c>
      <c r="AB3" s="5" t="inlineStr">
        <is>
          <t>1 Sep</t>
        </is>
      </c>
      <c r="AC3" s="5" t="inlineStr">
        <is>
          <t>8 Sep</t>
        </is>
      </c>
      <c r="AD3" s="5" t="inlineStr">
        <is>
          <t>15 Sep</t>
        </is>
      </c>
      <c r="AE3" s="5" t="inlineStr">
        <is>
          <t>22 Sep</t>
        </is>
      </c>
      <c r="AF3" s="5" t="inlineStr">
        <is>
          <t>29 Sep</t>
        </is>
      </c>
      <c r="AG3" s="5" t="inlineStr">
        <is>
          <t>6 Oct</t>
        </is>
      </c>
    </row>
    <row r="4">
      <c r="A4" s="6" t="inlineStr">
        <is>
          <t xml:space="preserve">  FOUNDATION</t>
        </is>
      </c>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5" t="n"/>
    </row>
    <row r="5">
      <c r="A5" s="8" t="inlineStr">
        <is>
          <t>1.1</t>
        </is>
      </c>
      <c r="B5" s="9" t="inlineStr">
        <is>
          <t>FOUNDATION</t>
        </is>
      </c>
      <c r="C5" s="10" t="inlineStr">
        <is>
          <t>Audit HubSpot lead database — export, segment by size/location/last touch</t>
        </is>
      </c>
      <c r="D5" s="11" t="inlineStr">
        <is>
          <t>Khoi</t>
        </is>
      </c>
      <c r="E5" s="12" t="inlineStr">
        <is>
          <t>W1</t>
        </is>
      </c>
      <c r="F5" s="12" t="inlineStr">
        <is>
          <t>W2</t>
        </is>
      </c>
      <c r="G5" s="9" t="inlineStr">
        <is>
          <t>Segmented lead list with reactivation plan</t>
        </is>
      </c>
      <c r="H5" s="13" t="inlineStr">
        <is>
          <t>▸</t>
        </is>
      </c>
      <c r="I5" s="14"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row>
    <row r="6">
      <c r="A6" s="8" t="inlineStr">
        <is>
          <t>1.2</t>
        </is>
      </c>
      <c r="B6" s="9" t="inlineStr">
        <is>
          <t>FOUNDATION</t>
        </is>
      </c>
      <c r="C6" s="10" t="inlineStr">
        <is>
          <t>Learn pipeline tools (HubSpot, Zendesk, Google Ads account)</t>
        </is>
      </c>
      <c r="D6" s="11" t="inlineStr">
        <is>
          <t>Khoi</t>
        </is>
      </c>
      <c r="E6" s="12" t="inlineStr">
        <is>
          <t>W1</t>
        </is>
      </c>
      <c r="F6" s="12" t="inlineStr">
        <is>
          <t>W2</t>
        </is>
      </c>
      <c r="G6" s="9" t="inlineStr">
        <is>
          <t>Can operate independently</t>
        </is>
      </c>
      <c r="H6" s="13" t="inlineStr">
        <is>
          <t>▸</t>
        </is>
      </c>
      <c r="I6" s="14"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row>
    <row r="7">
      <c r="A7" s="8" t="inlineStr">
        <is>
          <t>1.3</t>
        </is>
      </c>
      <c r="B7" s="9" t="inlineStr">
        <is>
          <t>FOUNDATION</t>
        </is>
      </c>
      <c r="C7" s="10" t="inlineStr">
        <is>
          <t>Absorb MTS value prop — 5 pain points, proposals, Zendesk proof metrics</t>
        </is>
      </c>
      <c r="D7" s="11" t="inlineStr">
        <is>
          <t>Khoi</t>
        </is>
      </c>
      <c r="E7" s="12" t="inlineStr">
        <is>
          <t>W1</t>
        </is>
      </c>
      <c r="F7" s="12" t="inlineStr">
        <is>
          <t>W2</t>
        </is>
      </c>
      <c r="G7" s="9" t="inlineStr">
        <is>
          <t>Can articulate MTS differentiation</t>
        </is>
      </c>
      <c r="H7" s="13" t="inlineStr">
        <is>
          <t>▸</t>
        </is>
      </c>
      <c r="I7" s="14"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row>
    <row r="8">
      <c r="A8" s="8" t="inlineStr">
        <is>
          <t>1.4</t>
        </is>
      </c>
      <c r="B8" s="9" t="inlineStr">
        <is>
          <t>FOUNDATION</t>
        </is>
      </c>
      <c r="C8" s="10" t="inlineStr">
        <is>
          <t>Take over inbound lead intake from Bill</t>
        </is>
      </c>
      <c r="D8" s="11" t="inlineStr">
        <is>
          <t>Khoi</t>
        </is>
      </c>
      <c r="E8" s="12" t="inlineStr">
        <is>
          <t>W2</t>
        </is>
      </c>
      <c r="F8" s="12" t="inlineStr">
        <is>
          <t>W26</t>
        </is>
      </c>
      <c r="G8" s="9" t="inlineStr">
        <is>
          <t>Bill removed from lead intake permanently</t>
        </is>
      </c>
      <c r="H8" s="15" t="n"/>
      <c r="I8" s="13" t="inlineStr">
        <is>
          <t>▸</t>
        </is>
      </c>
      <c r="J8" s="14" t="n"/>
      <c r="K8" s="14" t="n"/>
      <c r="L8" s="14" t="n"/>
      <c r="M8" s="14" t="n"/>
      <c r="N8" s="14" t="n"/>
      <c r="O8" s="14" t="n"/>
      <c r="P8" s="14" t="n"/>
      <c r="Q8" s="14" t="n"/>
      <c r="R8" s="14" t="n"/>
      <c r="S8" s="14" t="n"/>
      <c r="T8" s="14" t="n"/>
      <c r="U8" s="14" t="n"/>
      <c r="V8" s="14" t="n"/>
      <c r="W8" s="14" t="n"/>
      <c r="X8" s="14" t="n"/>
      <c r="Y8" s="14" t="n"/>
      <c r="Z8" s="14" t="n"/>
      <c r="AA8" s="14" t="n"/>
      <c r="AB8" s="14" t="n"/>
      <c r="AC8" s="14" t="n"/>
      <c r="AD8" s="14" t="n"/>
      <c r="AE8" s="14" t="n"/>
      <c r="AF8" s="14" t="n"/>
      <c r="AG8" s="14" t="n"/>
    </row>
    <row r="9">
      <c r="A9" s="8" t="inlineStr">
        <is>
          <t>1.5</t>
        </is>
      </c>
      <c r="B9" s="9" t="inlineStr">
        <is>
          <t>FOUNDATION</t>
        </is>
      </c>
      <c r="C9" s="10" t="inlineStr">
        <is>
          <t>Execute Google Ads quick wins — redirects, pause /trust_value, kill 2024 offer, fix typo</t>
        </is>
      </c>
      <c r="D9" s="11" t="inlineStr">
        <is>
          <t>Khoi</t>
        </is>
      </c>
      <c r="E9" s="12" t="inlineStr">
        <is>
          <t>W1</t>
        </is>
      </c>
      <c r="F9" s="12" t="inlineStr">
        <is>
          <t>W2</t>
        </is>
      </c>
      <c r="G9" s="9" t="inlineStr">
        <is>
          <t>~$866/month waste eliminated</t>
        </is>
      </c>
      <c r="H9" s="13" t="inlineStr">
        <is>
          <t>▸</t>
        </is>
      </c>
      <c r="I9" s="14"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row>
    <row r="10">
      <c r="A10" s="8" t="inlineStr">
        <is>
          <t>1.6</t>
        </is>
      </c>
      <c r="B10" s="9" t="inlineStr">
        <is>
          <t>FOUNDATION</t>
        </is>
      </c>
      <c r="C10" s="10" t="inlineStr">
        <is>
          <t>Document pricing rules (from Bill's head into a reference doc)</t>
        </is>
      </c>
      <c r="D10" s="11" t="inlineStr">
        <is>
          <t>Bill/Khoi</t>
        </is>
      </c>
      <c r="E10" s="12" t="inlineStr">
        <is>
          <t>W1</t>
        </is>
      </c>
      <c r="F10" s="12" t="inlineStr">
        <is>
          <t>W3</t>
        </is>
      </c>
      <c r="G10" s="9" t="inlineStr">
        <is>
          <t>Khoi can draft proposals independently</t>
        </is>
      </c>
      <c r="H10" s="13" t="inlineStr">
        <is>
          <t>▸</t>
        </is>
      </c>
      <c r="I10" s="14" t="n"/>
      <c r="J10" s="14"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row>
    <row r="11">
      <c r="A11" s="16" t="inlineStr">
        <is>
          <t xml:space="preserve">  LANDING PAGES &amp; GOOGLE ADS</t>
        </is>
      </c>
      <c r="B11" s="64" t="n"/>
      <c r="C11" s="64" t="n"/>
      <c r="D11" s="64" t="n"/>
      <c r="E11" s="64" t="n"/>
      <c r="F11" s="64" t="n"/>
      <c r="G11" s="64" t="n"/>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c r="AB11" s="64" t="n"/>
      <c r="AC11" s="64" t="n"/>
      <c r="AD11" s="64" t="n"/>
      <c r="AE11" s="64" t="n"/>
      <c r="AF11" s="64" t="n"/>
      <c r="AG11" s="65" t="n"/>
    </row>
    <row r="12">
      <c r="A12" s="8" t="inlineStr">
        <is>
          <t>2.1</t>
        </is>
      </c>
      <c r="B12" s="9" t="inlineStr">
        <is>
          <t>LANDING PAGES &amp; GOOGLE ADS</t>
        </is>
      </c>
      <c r="C12" s="10" t="inlineStr">
        <is>
          <t>Rebuild /responsive-service/ page — new copy, real Zendesk metrics, capacity argument</t>
        </is>
      </c>
      <c r="D12" s="11" t="inlineStr">
        <is>
          <t>Khoi</t>
        </is>
      </c>
      <c r="E12" s="12" t="inlineStr">
        <is>
          <t>W3</t>
        </is>
      </c>
      <c r="F12" s="12" t="inlineStr">
        <is>
          <t>W5</t>
        </is>
      </c>
      <c r="G12" s="9" t="inlineStr">
        <is>
          <t>New page live</t>
        </is>
      </c>
      <c r="H12" s="15" t="n"/>
      <c r="I12" s="15" t="n"/>
      <c r="J12" s="18" t="inlineStr">
        <is>
          <t>▸</t>
        </is>
      </c>
      <c r="K12" s="19" t="n"/>
      <c r="L12" s="19"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row>
    <row r="13">
      <c r="A13" s="8" t="inlineStr">
        <is>
          <t>2.2</t>
        </is>
      </c>
      <c r="B13" s="9" t="inlineStr">
        <is>
          <t>LANDING PAGES &amp; GOOGLE ADS</t>
        </is>
      </c>
      <c r="C13" s="10" t="inlineStr">
        <is>
          <t>Build new Changing Strata Manager page — replaces /change-strata/</t>
        </is>
      </c>
      <c r="D13" s="11" t="inlineStr">
        <is>
          <t>Khoi</t>
        </is>
      </c>
      <c r="E13" s="12" t="inlineStr">
        <is>
          <t>W4</t>
        </is>
      </c>
      <c r="F13" s="12" t="inlineStr">
        <is>
          <t>W6</t>
        </is>
      </c>
      <c r="G13" s="9" t="inlineStr">
        <is>
          <t>New page live, keywords pointed</t>
        </is>
      </c>
      <c r="H13" s="15" t="n"/>
      <c r="I13" s="15" t="n"/>
      <c r="J13" s="15" t="n"/>
      <c r="K13" s="18" t="inlineStr">
        <is>
          <t>▸</t>
        </is>
      </c>
      <c r="L13" s="19" t="n"/>
      <c r="M13" s="19"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row>
    <row r="14">
      <c r="A14" s="8" t="inlineStr">
        <is>
          <t>2.3</t>
        </is>
      </c>
      <c r="B14" s="9" t="inlineStr">
        <is>
          <t>LANDING PAGES &amp; GOOGLE ADS</t>
        </is>
      </c>
      <c r="C14" s="10" t="inlineStr">
        <is>
          <t>Build Defects Playbook landing page — campaign-specific</t>
        </is>
      </c>
      <c r="D14" s="11" t="inlineStr">
        <is>
          <t>Khoi</t>
        </is>
      </c>
      <c r="E14" s="12" t="inlineStr">
        <is>
          <t>W5</t>
        </is>
      </c>
      <c r="F14" s="12" t="inlineStr">
        <is>
          <t>W7</t>
        </is>
      </c>
      <c r="G14" s="9" t="inlineStr">
        <is>
          <t>Campaign page live</t>
        </is>
      </c>
      <c r="H14" s="15" t="n"/>
      <c r="I14" s="15" t="n"/>
      <c r="J14" s="15" t="n"/>
      <c r="K14" s="15" t="n"/>
      <c r="L14" s="18" t="inlineStr">
        <is>
          <t>▸</t>
        </is>
      </c>
      <c r="M14" s="19" t="n"/>
      <c r="N14" s="19" t="n"/>
      <c r="O14" s="15" t="n"/>
      <c r="P14" s="15" t="n"/>
      <c r="Q14" s="15" t="n"/>
      <c r="R14" s="15" t="n"/>
      <c r="S14" s="15" t="n"/>
      <c r="T14" s="15" t="n"/>
      <c r="U14" s="15" t="n"/>
      <c r="V14" s="15" t="n"/>
      <c r="W14" s="15" t="n"/>
      <c r="X14" s="15" t="n"/>
      <c r="Y14" s="15" t="n"/>
      <c r="Z14" s="15" t="n"/>
      <c r="AA14" s="15" t="n"/>
      <c r="AB14" s="15" t="n"/>
      <c r="AC14" s="15" t="n"/>
      <c r="AD14" s="15" t="n"/>
      <c r="AE14" s="15" t="n"/>
      <c r="AF14" s="15" t="n"/>
      <c r="AG14" s="15" t="n"/>
    </row>
    <row r="15">
      <c r="A15" s="8" t="inlineStr">
        <is>
          <t>2.4</t>
        </is>
      </c>
      <c r="B15" s="9" t="inlineStr">
        <is>
          <t>LANDING PAGES &amp; GOOGLE ADS</t>
        </is>
      </c>
      <c r="C15" s="10" t="inlineStr">
        <is>
          <t>Build Insurance Review landing page — campaign-specific</t>
        </is>
      </c>
      <c r="D15" s="11" t="inlineStr">
        <is>
          <t>Khoi</t>
        </is>
      </c>
      <c r="E15" s="12" t="inlineStr">
        <is>
          <t>W7</t>
        </is>
      </c>
      <c r="F15" s="12" t="inlineStr">
        <is>
          <t>W9</t>
        </is>
      </c>
      <c r="G15" s="9" t="inlineStr">
        <is>
          <t>Campaign page live</t>
        </is>
      </c>
      <c r="H15" s="15" t="n"/>
      <c r="I15" s="15" t="n"/>
      <c r="J15" s="15" t="n"/>
      <c r="K15" s="15" t="n"/>
      <c r="L15" s="15" t="n"/>
      <c r="M15" s="15" t="n"/>
      <c r="N15" s="18" t="inlineStr">
        <is>
          <t>▸</t>
        </is>
      </c>
      <c r="O15" s="19" t="n"/>
      <c r="P15" s="19" t="n"/>
      <c r="Q15" s="15" t="n"/>
      <c r="R15" s="15" t="n"/>
      <c r="S15" s="15" t="n"/>
      <c r="T15" s="15" t="n"/>
      <c r="U15" s="15" t="n"/>
      <c r="V15" s="15" t="n"/>
      <c r="W15" s="15" t="n"/>
      <c r="X15" s="15" t="n"/>
      <c r="Y15" s="15" t="n"/>
      <c r="Z15" s="15" t="n"/>
      <c r="AA15" s="15" t="n"/>
      <c r="AB15" s="15" t="n"/>
      <c r="AC15" s="15" t="n"/>
      <c r="AD15" s="15" t="n"/>
      <c r="AE15" s="15" t="n"/>
      <c r="AF15" s="15" t="n"/>
      <c r="AG15" s="15" t="n"/>
    </row>
    <row r="16">
      <c r="A16" s="8" t="inlineStr">
        <is>
          <t>2.5</t>
        </is>
      </c>
      <c r="B16" s="9" t="inlineStr">
        <is>
          <t>LANDING PAGES &amp; GOOGLE ADS</t>
        </is>
      </c>
      <c r="C16" s="10" t="inlineStr">
        <is>
          <t>Build Sinking Fund / Capital Works landing page</t>
        </is>
      </c>
      <c r="D16" s="11" t="inlineStr">
        <is>
          <t>Khoi</t>
        </is>
      </c>
      <c r="E16" s="12" t="inlineStr">
        <is>
          <t>W9</t>
        </is>
      </c>
      <c r="F16" s="12" t="inlineStr">
        <is>
          <t>W11</t>
        </is>
      </c>
      <c r="G16" s="9" t="inlineStr">
        <is>
          <t>Campaign page live</t>
        </is>
      </c>
      <c r="H16" s="15" t="n"/>
      <c r="I16" s="15" t="n"/>
      <c r="J16" s="15" t="n"/>
      <c r="K16" s="15" t="n"/>
      <c r="L16" s="15" t="n"/>
      <c r="M16" s="15" t="n"/>
      <c r="N16" s="15" t="n"/>
      <c r="O16" s="15" t="n"/>
      <c r="P16" s="18" t="inlineStr">
        <is>
          <t>▸</t>
        </is>
      </c>
      <c r="Q16" s="19" t="n"/>
      <c r="R16" s="19" t="n"/>
      <c r="S16" s="15" t="n"/>
      <c r="T16" s="15" t="n"/>
      <c r="U16" s="15" t="n"/>
      <c r="V16" s="15" t="n"/>
      <c r="W16" s="15" t="n"/>
      <c r="X16" s="15" t="n"/>
      <c r="Y16" s="15" t="n"/>
      <c r="Z16" s="15" t="n"/>
      <c r="AA16" s="15" t="n"/>
      <c r="AB16" s="15" t="n"/>
      <c r="AC16" s="15" t="n"/>
      <c r="AD16" s="15" t="n"/>
      <c r="AE16" s="15" t="n"/>
      <c r="AF16" s="15" t="n"/>
      <c r="AG16" s="15" t="n"/>
    </row>
    <row r="17">
      <c r="A17" s="8" t="inlineStr">
        <is>
          <t>2.6</t>
        </is>
      </c>
      <c r="B17" s="9" t="inlineStr">
        <is>
          <t>LANDING PAGES &amp; GOOGLE ADS</t>
        </is>
      </c>
      <c r="C17" s="10" t="inlineStr">
        <is>
          <t>Implement tracking — UTMs, HubSpot↔Google Ads, gclid, lifecycle events</t>
        </is>
      </c>
      <c r="D17" s="11" t="inlineStr">
        <is>
          <t>Khoi</t>
        </is>
      </c>
      <c r="E17" s="12" t="inlineStr">
        <is>
          <t>W3</t>
        </is>
      </c>
      <c r="F17" s="12" t="inlineStr">
        <is>
          <t>W5</t>
        </is>
      </c>
      <c r="G17" s="9" t="inlineStr">
        <is>
          <t>End-to-end tracking operational</t>
        </is>
      </c>
      <c r="H17" s="15" t="n"/>
      <c r="I17" s="15" t="n"/>
      <c r="J17" s="18" t="inlineStr">
        <is>
          <t>▸</t>
        </is>
      </c>
      <c r="K17" s="19" t="n"/>
      <c r="L17" s="19"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row>
    <row r="18">
      <c r="A18" s="8" t="inlineStr">
        <is>
          <t>2.7</t>
        </is>
      </c>
      <c r="B18" s="9" t="inlineStr">
        <is>
          <t>LANDING PAGES &amp; GOOGLE ADS</t>
        </is>
      </c>
      <c r="C18" s="10" t="inlineStr">
        <is>
          <t>Weekly search terms review + negative keyword maintenance</t>
        </is>
      </c>
      <c r="D18" s="11" t="inlineStr">
        <is>
          <t>Khoi</t>
        </is>
      </c>
      <c r="E18" s="12" t="inlineStr">
        <is>
          <t>W3</t>
        </is>
      </c>
      <c r="F18" s="12" t="inlineStr">
        <is>
          <t>W26</t>
        </is>
      </c>
      <c r="G18" s="9" t="inlineStr">
        <is>
          <t>Ongoing — weekly then fortnightly</t>
        </is>
      </c>
      <c r="H18" s="15" t="n"/>
      <c r="I18" s="15" t="n"/>
      <c r="J18" s="18" t="inlineStr">
        <is>
          <t>▸</t>
        </is>
      </c>
      <c r="K18" s="19" t="n"/>
      <c r="L18" s="19" t="n"/>
      <c r="M18" s="19" t="n"/>
      <c r="N18" s="19" t="n"/>
      <c r="O18" s="19" t="n"/>
      <c r="P18" s="19" t="n"/>
      <c r="Q18" s="19" t="n"/>
      <c r="R18" s="19" t="n"/>
      <c r="S18" s="19" t="n"/>
      <c r="T18" s="19" t="n"/>
      <c r="U18" s="19" t="n"/>
      <c r="V18" s="19" t="n"/>
      <c r="W18" s="19" t="n"/>
      <c r="X18" s="19" t="n"/>
      <c r="Y18" s="19" t="n"/>
      <c r="Z18" s="19" t="n"/>
      <c r="AA18" s="19" t="n"/>
      <c r="AB18" s="19" t="n"/>
      <c r="AC18" s="19" t="n"/>
      <c r="AD18" s="19" t="n"/>
      <c r="AE18" s="19" t="n"/>
      <c r="AF18" s="19" t="n"/>
      <c r="AG18" s="19" t="n"/>
    </row>
    <row r="19">
      <c r="A19" s="8" t="inlineStr">
        <is>
          <t>2.8</t>
        </is>
      </c>
      <c r="B19" s="9" t="inlineStr">
        <is>
          <t>LANDING PAGES &amp; GOOGLE ADS</t>
        </is>
      </c>
      <c r="C19" s="10" t="inlineStr">
        <is>
          <t>Monitor quality scores post-LP changes (2-4 week lag)</t>
        </is>
      </c>
      <c r="D19" s="11" t="inlineStr">
        <is>
          <t>Khoi</t>
        </is>
      </c>
      <c r="E19" s="12" t="inlineStr">
        <is>
          <t>W7</t>
        </is>
      </c>
      <c r="F19" s="12" t="inlineStr">
        <is>
          <t>W26</t>
        </is>
      </c>
      <c r="G19" s="9" t="inlineStr">
        <is>
          <t>QS improving on top 5 keyword groups</t>
        </is>
      </c>
      <c r="H19" s="15" t="n"/>
      <c r="I19" s="15" t="n"/>
      <c r="J19" s="15" t="n"/>
      <c r="K19" s="15" t="n"/>
      <c r="L19" s="15" t="n"/>
      <c r="M19" s="15" t="n"/>
      <c r="N19" s="18" t="inlineStr">
        <is>
          <t>▸</t>
        </is>
      </c>
      <c r="O19" s="19" t="n"/>
      <c r="P19" s="19" t="n"/>
      <c r="Q19" s="19" t="n"/>
      <c r="R19" s="19" t="n"/>
      <c r="S19" s="19" t="n"/>
      <c r="T19" s="19" t="n"/>
      <c r="U19" s="19" t="n"/>
      <c r="V19" s="19" t="n"/>
      <c r="W19" s="19" t="n"/>
      <c r="X19" s="19" t="n"/>
      <c r="Y19" s="19" t="n"/>
      <c r="Z19" s="19" t="n"/>
      <c r="AA19" s="19" t="n"/>
      <c r="AB19" s="19" t="n"/>
      <c r="AC19" s="19" t="n"/>
      <c r="AD19" s="19" t="n"/>
      <c r="AE19" s="19" t="n"/>
      <c r="AF19" s="19" t="n"/>
      <c r="AG19" s="19" t="n"/>
    </row>
    <row r="20">
      <c r="A20" s="8" t="inlineStr">
        <is>
          <t>2.9</t>
        </is>
      </c>
      <c r="B20" s="9" t="inlineStr">
        <is>
          <t>LANDING PAGES &amp; GOOGLE ADS</t>
        </is>
      </c>
      <c r="C20" s="10" t="inlineStr">
        <is>
          <t>Scale budget — $5.2k→$8k (W13), →$10k (W17), →$12k (W21)</t>
        </is>
      </c>
      <c r="D20" s="11" t="inlineStr">
        <is>
          <t>Bill/Khoi</t>
        </is>
      </c>
      <c r="E20" s="12" t="inlineStr">
        <is>
          <t>W13</t>
        </is>
      </c>
      <c r="F20" s="12" t="inlineStr">
        <is>
          <t>W26</t>
        </is>
      </c>
      <c r="G20" s="9" t="inlineStr">
        <is>
          <t>Budget scaled based on CAC data</t>
        </is>
      </c>
      <c r="H20" s="15" t="n"/>
      <c r="I20" s="15" t="n"/>
      <c r="J20" s="15" t="n"/>
      <c r="K20" s="15" t="n"/>
      <c r="L20" s="15" t="n"/>
      <c r="M20" s="15" t="n"/>
      <c r="N20" s="15" t="n"/>
      <c r="O20" s="15" t="n"/>
      <c r="P20" s="15" t="n"/>
      <c r="Q20" s="15" t="n"/>
      <c r="R20" s="15" t="n"/>
      <c r="S20" s="15" t="n"/>
      <c r="T20" s="18" t="inlineStr">
        <is>
          <t>▸</t>
        </is>
      </c>
      <c r="U20" s="19" t="n"/>
      <c r="V20" s="19" t="n"/>
      <c r="W20" s="19" t="n"/>
      <c r="X20" s="19" t="n"/>
      <c r="Y20" s="19" t="n"/>
      <c r="Z20" s="19" t="n"/>
      <c r="AA20" s="19" t="n"/>
      <c r="AB20" s="19" t="n"/>
      <c r="AC20" s="19" t="n"/>
      <c r="AD20" s="19" t="n"/>
      <c r="AE20" s="19" t="n"/>
      <c r="AF20" s="19" t="n"/>
      <c r="AG20" s="19" t="n"/>
    </row>
    <row r="21">
      <c r="A21" s="20" t="inlineStr">
        <is>
          <t xml:space="preserve">  OLD LEAD DATABASE CAMPAIGN</t>
        </is>
      </c>
      <c r="B21" s="64" t="n"/>
      <c r="C21" s="64" t="n"/>
      <c r="D21" s="64" t="n"/>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64" t="n"/>
      <c r="AG21" s="65" t="n"/>
    </row>
    <row r="22">
      <c r="A22" s="8" t="inlineStr">
        <is>
          <t>3.1</t>
        </is>
      </c>
      <c r="B22" s="9" t="inlineStr">
        <is>
          <t>OLD LEAD DATABASE CAMPAIGN</t>
        </is>
      </c>
      <c r="C22" s="10" t="inlineStr">
        <is>
          <t>Design re-engagement campaign — offer, messaging, case study selection, email sequence</t>
        </is>
      </c>
      <c r="D22" s="11" t="inlineStr">
        <is>
          <t>Khoi</t>
        </is>
      </c>
      <c r="E22" s="12" t="inlineStr">
        <is>
          <t>W2</t>
        </is>
      </c>
      <c r="F22" s="12" t="inlineStr">
        <is>
          <t>W3</t>
        </is>
      </c>
      <c r="G22" s="9" t="inlineStr">
        <is>
          <t>Campaign design complete</t>
        </is>
      </c>
      <c r="H22" s="15" t="n"/>
      <c r="I22" s="22" t="inlineStr">
        <is>
          <t>▸</t>
        </is>
      </c>
      <c r="J22" s="23"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row>
    <row r="23">
      <c r="A23" s="8" t="inlineStr">
        <is>
          <t>3.2</t>
        </is>
      </c>
      <c r="B23" s="9" t="inlineStr">
        <is>
          <t>OLD LEAD DATABASE CAMPAIGN</t>
        </is>
      </c>
      <c r="C23" s="10" t="inlineStr">
        <is>
          <t>Create proof pack — 3 case study one-pagers with real Zendesk metrics</t>
        </is>
      </c>
      <c r="D23" s="11" t="inlineStr">
        <is>
          <t>Khoi</t>
        </is>
      </c>
      <c r="E23" s="12" t="inlineStr">
        <is>
          <t>W3</t>
        </is>
      </c>
      <c r="F23" s="12" t="inlineStr">
        <is>
          <t>W5</t>
        </is>
      </c>
      <c r="G23" s="9" t="inlineStr">
        <is>
          <t>3 case studies published</t>
        </is>
      </c>
      <c r="H23" s="15" t="n"/>
      <c r="I23" s="15" t="n"/>
      <c r="J23" s="22" t="inlineStr">
        <is>
          <t>▸</t>
        </is>
      </c>
      <c r="K23" s="23" t="n"/>
      <c r="L23" s="23"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row>
    <row r="24">
      <c r="A24" s="8" t="inlineStr">
        <is>
          <t>3.3</t>
        </is>
      </c>
      <c r="B24" s="9" t="inlineStr">
        <is>
          <t>OLD LEAD DATABASE CAMPAIGN</t>
        </is>
      </c>
      <c r="C24" s="10" t="inlineStr">
        <is>
          <t>Launch Segment 1 — most recent enquiries (last 6 months), highest intent</t>
        </is>
      </c>
      <c r="D24" s="11" t="inlineStr">
        <is>
          <t>Khoi</t>
        </is>
      </c>
      <c r="E24" s="12" t="inlineStr">
        <is>
          <t>W4</t>
        </is>
      </c>
      <c r="F24" s="12" t="inlineStr">
        <is>
          <t>W8</t>
        </is>
      </c>
      <c r="G24" s="9" t="inlineStr">
        <is>
          <t>Outreach complete, calls booked</t>
        </is>
      </c>
      <c r="H24" s="15" t="n"/>
      <c r="I24" s="15" t="n"/>
      <c r="J24" s="15" t="n"/>
      <c r="K24" s="22" t="inlineStr">
        <is>
          <t>▸</t>
        </is>
      </c>
      <c r="L24" s="23" t="n"/>
      <c r="M24" s="23" t="n"/>
      <c r="N24" s="23" t="n"/>
      <c r="O24" s="23" t="n"/>
      <c r="P24" s="15" t="n"/>
      <c r="Q24" s="15" t="n"/>
      <c r="R24" s="15" t="n"/>
      <c r="S24" s="15" t="n"/>
      <c r="T24" s="15" t="n"/>
      <c r="U24" s="15" t="n"/>
      <c r="V24" s="15" t="n"/>
      <c r="W24" s="15" t="n"/>
      <c r="X24" s="15" t="n"/>
      <c r="Y24" s="15" t="n"/>
      <c r="Z24" s="15" t="n"/>
      <c r="AA24" s="15" t="n"/>
      <c r="AB24" s="15" t="n"/>
      <c r="AC24" s="15" t="n"/>
      <c r="AD24" s="15" t="n"/>
      <c r="AE24" s="15" t="n"/>
      <c r="AF24" s="15" t="n"/>
      <c r="AG24" s="15" t="n"/>
    </row>
    <row r="25">
      <c r="A25" s="8" t="inlineStr">
        <is>
          <t>3.4</t>
        </is>
      </c>
      <c r="B25" s="9" t="inlineStr">
        <is>
          <t>OLD LEAD DATABASE CAMPAIGN</t>
        </is>
      </c>
      <c r="C25" s="10" t="inlineStr">
        <is>
          <t>Launch Segment 2 — older enquiries (6-18 months), re-engage with new offer</t>
        </is>
      </c>
      <c r="D25" s="11" t="inlineStr">
        <is>
          <t>Khoi</t>
        </is>
      </c>
      <c r="E25" s="12" t="inlineStr">
        <is>
          <t>W6</t>
        </is>
      </c>
      <c r="F25" s="12" t="inlineStr">
        <is>
          <t>W12</t>
        </is>
      </c>
      <c r="G25" s="9" t="inlineStr">
        <is>
          <t>Outreach complete</t>
        </is>
      </c>
      <c r="H25" s="15" t="n"/>
      <c r="I25" s="15" t="n"/>
      <c r="J25" s="15" t="n"/>
      <c r="K25" s="15" t="n"/>
      <c r="L25" s="15" t="n"/>
      <c r="M25" s="22" t="inlineStr">
        <is>
          <t>▸</t>
        </is>
      </c>
      <c r="N25" s="23" t="n"/>
      <c r="O25" s="23" t="n"/>
      <c r="P25" s="23" t="n"/>
      <c r="Q25" s="23" t="n"/>
      <c r="R25" s="23" t="n"/>
      <c r="S25" s="23" t="n"/>
      <c r="T25" s="15" t="n"/>
      <c r="U25" s="15" t="n"/>
      <c r="V25" s="15" t="n"/>
      <c r="W25" s="15" t="n"/>
      <c r="X25" s="15" t="n"/>
      <c r="Y25" s="15" t="n"/>
      <c r="Z25" s="15" t="n"/>
      <c r="AA25" s="15" t="n"/>
      <c r="AB25" s="15" t="n"/>
      <c r="AC25" s="15" t="n"/>
      <c r="AD25" s="15" t="n"/>
      <c r="AE25" s="15" t="n"/>
      <c r="AF25" s="15" t="n"/>
      <c r="AG25" s="15" t="n"/>
    </row>
    <row r="26">
      <c r="A26" s="8" t="inlineStr">
        <is>
          <t>3.5</t>
        </is>
      </c>
      <c r="B26" s="9" t="inlineStr">
        <is>
          <t>OLD LEAD DATABASE CAMPAIGN</t>
        </is>
      </c>
      <c r="C26" s="10" t="inlineStr">
        <is>
          <t>Launch Segment 3 — oldest viable contacts, final pass</t>
        </is>
      </c>
      <c r="D26" s="11" t="inlineStr">
        <is>
          <t>Khoi</t>
        </is>
      </c>
      <c r="E26" s="12" t="inlineStr">
        <is>
          <t>W10</t>
        </is>
      </c>
      <c r="F26" s="12" t="inlineStr">
        <is>
          <t>W16</t>
        </is>
      </c>
      <c r="G26" s="9" t="inlineStr">
        <is>
          <t>Database fully worked</t>
        </is>
      </c>
      <c r="H26" s="15" t="n"/>
      <c r="I26" s="15" t="n"/>
      <c r="J26" s="15" t="n"/>
      <c r="K26" s="15" t="n"/>
      <c r="L26" s="15" t="n"/>
      <c r="M26" s="15" t="n"/>
      <c r="N26" s="15" t="n"/>
      <c r="O26" s="15" t="n"/>
      <c r="P26" s="15" t="n"/>
      <c r="Q26" s="22" t="inlineStr">
        <is>
          <t>▸</t>
        </is>
      </c>
      <c r="R26" s="23" t="n"/>
      <c r="S26" s="23" t="n"/>
      <c r="T26" s="23" t="n"/>
      <c r="U26" s="23" t="n"/>
      <c r="V26" s="23" t="n"/>
      <c r="W26" s="23" t="n"/>
      <c r="X26" s="15" t="n"/>
      <c r="Y26" s="15" t="n"/>
      <c r="Z26" s="15" t="n"/>
      <c r="AA26" s="15" t="n"/>
      <c r="AB26" s="15" t="n"/>
      <c r="AC26" s="15" t="n"/>
      <c r="AD26" s="15" t="n"/>
      <c r="AE26" s="15" t="n"/>
      <c r="AF26" s="15" t="n"/>
      <c r="AG26" s="15" t="n"/>
    </row>
    <row r="27">
      <c r="A27" s="8" t="inlineStr">
        <is>
          <t>3.6</t>
        </is>
      </c>
      <c r="B27" s="9" t="inlineStr">
        <is>
          <t>OLD LEAD DATABASE CAMPAIGN</t>
        </is>
      </c>
      <c r="C27" s="10" t="inlineStr">
        <is>
          <t>Follow-up sequences on all non-responders (text→email+case study→call→email 2)</t>
        </is>
      </c>
      <c r="D27" s="11" t="inlineStr">
        <is>
          <t>Khoi</t>
        </is>
      </c>
      <c r="E27" s="12" t="inlineStr">
        <is>
          <t>W4</t>
        </is>
      </c>
      <c r="F27" s="12" t="inlineStr">
        <is>
          <t>W18</t>
        </is>
      </c>
      <c r="G27" s="9" t="inlineStr">
        <is>
          <t>Multi-touch nurture running</t>
        </is>
      </c>
      <c r="H27" s="15" t="n"/>
      <c r="I27" s="15" t="n"/>
      <c r="J27" s="15" t="n"/>
      <c r="K27" s="22" t="inlineStr">
        <is>
          <t>▸</t>
        </is>
      </c>
      <c r="L27" s="23" t="n"/>
      <c r="M27" s="23" t="n"/>
      <c r="N27" s="23" t="n"/>
      <c r="O27" s="23" t="n"/>
      <c r="P27" s="23" t="n"/>
      <c r="Q27" s="23" t="n"/>
      <c r="R27" s="23" t="n"/>
      <c r="S27" s="23" t="n"/>
      <c r="T27" s="23" t="n"/>
      <c r="U27" s="23" t="n"/>
      <c r="V27" s="23" t="n"/>
      <c r="W27" s="23" t="n"/>
      <c r="X27" s="23" t="n"/>
      <c r="Y27" s="23" t="n"/>
      <c r="Z27" s="15" t="n"/>
      <c r="AA27" s="15" t="n"/>
      <c r="AB27" s="15" t="n"/>
      <c r="AC27" s="15" t="n"/>
      <c r="AD27" s="15" t="n"/>
      <c r="AE27" s="15" t="n"/>
      <c r="AF27" s="15" t="n"/>
      <c r="AG27" s="15" t="n"/>
    </row>
    <row r="28">
      <c r="A28" s="24" t="inlineStr">
        <is>
          <t xml:space="preserve">  SBBIS &amp; DEFECTS TARGETING</t>
        </is>
      </c>
      <c r="B28" s="64" t="n"/>
      <c r="C28" s="64" t="n"/>
      <c r="D28" s="64" t="n"/>
      <c r="E28" s="64" t="n"/>
      <c r="F28" s="64"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c r="AB28" s="64" t="n"/>
      <c r="AC28" s="64" t="n"/>
      <c r="AD28" s="64" t="n"/>
      <c r="AE28" s="64" t="n"/>
      <c r="AF28" s="64" t="n"/>
      <c r="AG28" s="65" t="n"/>
    </row>
    <row r="29">
      <c r="A29" s="8" t="inlineStr">
        <is>
          <t>4.1</t>
        </is>
      </c>
      <c r="B29" s="9" t="inlineStr">
        <is>
          <t>SBBIS &amp; DEFECTS TARGETING</t>
        </is>
      </c>
      <c r="C29" s="10" t="inlineStr">
        <is>
          <t>Set up NSW Strata Search scraping agent — identify recently registered strata plans</t>
        </is>
      </c>
      <c r="D29" s="11" t="inlineStr">
        <is>
          <t>Khoi/Quang</t>
        </is>
      </c>
      <c r="E29" s="12" t="inlineStr">
        <is>
          <t>W3</t>
        </is>
      </c>
      <c r="F29" s="12" t="inlineStr">
        <is>
          <t>W5</t>
        </is>
      </c>
      <c r="G29" s="9" t="inlineStr">
        <is>
          <t>Agent producing weekly list</t>
        </is>
      </c>
      <c r="H29" s="15" t="n"/>
      <c r="I29" s="15" t="n"/>
      <c r="J29" s="26" t="inlineStr">
        <is>
          <t>▸</t>
        </is>
      </c>
      <c r="K29" s="27" t="n"/>
      <c r="L29" s="27"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row>
    <row r="30">
      <c r="A30" s="8" t="inlineStr">
        <is>
          <t>4.2</t>
        </is>
      </c>
      <c r="B30" s="9" t="inlineStr">
        <is>
          <t>SBBIS &amp; DEFECTS TARGETING</t>
        </is>
      </c>
      <c r="C30" s="10" t="inlineStr">
        <is>
          <t>Build target list — filter for buildings approaching 12-month renewal window</t>
        </is>
      </c>
      <c r="D30" s="11" t="inlineStr">
        <is>
          <t>Khoi</t>
        </is>
      </c>
      <c r="E30" s="12" t="inlineStr">
        <is>
          <t>W4</t>
        </is>
      </c>
      <c r="F30" s="12" t="inlineStr">
        <is>
          <t>W6</t>
        </is>
      </c>
      <c r="G30" s="9" t="inlineStr">
        <is>
          <t>Prioritised target list</t>
        </is>
      </c>
      <c r="H30" s="15" t="n"/>
      <c r="I30" s="15" t="n"/>
      <c r="J30" s="15" t="n"/>
      <c r="K30" s="26" t="inlineStr">
        <is>
          <t>▸</t>
        </is>
      </c>
      <c r="L30" s="27" t="n"/>
      <c r="M30" s="27"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row>
    <row r="31">
      <c r="A31" s="8" t="inlineStr">
        <is>
          <t>4.3</t>
        </is>
      </c>
      <c r="B31" s="9" t="inlineStr">
        <is>
          <t>SBBIS &amp; DEFECTS TARGETING</t>
        </is>
      </c>
      <c r="C31" s="10" t="inlineStr">
        <is>
          <t>Develop Defects Playbook campaign collateral — SBBIS claims process guide</t>
        </is>
      </c>
      <c r="D31" s="11" t="inlineStr">
        <is>
          <t>Khoi</t>
        </is>
      </c>
      <c r="E31" s="12" t="inlineStr">
        <is>
          <t>W5</t>
        </is>
      </c>
      <c r="F31" s="12" t="inlineStr">
        <is>
          <t>W7</t>
        </is>
      </c>
      <c r="G31" s="9" t="inlineStr">
        <is>
          <t>Playbook content ready</t>
        </is>
      </c>
      <c r="H31" s="15" t="n"/>
      <c r="I31" s="15" t="n"/>
      <c r="J31" s="15" t="n"/>
      <c r="K31" s="15" t="n"/>
      <c r="L31" s="26" t="inlineStr">
        <is>
          <t>▸</t>
        </is>
      </c>
      <c r="M31" s="27" t="n"/>
      <c r="N31" s="27" t="n"/>
      <c r="O31" s="15" t="n"/>
      <c r="P31" s="15" t="n"/>
      <c r="Q31" s="15" t="n"/>
      <c r="R31" s="15" t="n"/>
      <c r="S31" s="15" t="n"/>
      <c r="T31" s="15" t="n"/>
      <c r="U31" s="15" t="n"/>
      <c r="V31" s="15" t="n"/>
      <c r="W31" s="15" t="n"/>
      <c r="X31" s="15" t="n"/>
      <c r="Y31" s="15" t="n"/>
      <c r="Z31" s="15" t="n"/>
      <c r="AA31" s="15" t="n"/>
      <c r="AB31" s="15" t="n"/>
      <c r="AC31" s="15" t="n"/>
      <c r="AD31" s="15" t="n"/>
      <c r="AE31" s="15" t="n"/>
      <c r="AF31" s="15" t="n"/>
      <c r="AG31" s="15" t="n"/>
    </row>
    <row r="32">
      <c r="A32" s="8" t="inlineStr">
        <is>
          <t>4.4</t>
        </is>
      </c>
      <c r="B32" s="9" t="inlineStr">
        <is>
          <t>SBBIS &amp; DEFECTS TARGETING</t>
        </is>
      </c>
      <c r="C32" s="10" t="inlineStr">
        <is>
          <t>Launch outbound to new registrations — Defects Playbook as lead magnet</t>
        </is>
      </c>
      <c r="D32" s="11" t="inlineStr">
        <is>
          <t>Khoi</t>
        </is>
      </c>
      <c r="E32" s="12" t="inlineStr">
        <is>
          <t>W7</t>
        </is>
      </c>
      <c r="F32" s="12" t="inlineStr">
        <is>
          <t>W26</t>
        </is>
      </c>
      <c r="G32" s="9" t="inlineStr">
        <is>
          <t>Ongoing weekly outbound</t>
        </is>
      </c>
      <c r="H32" s="15" t="n"/>
      <c r="I32" s="15" t="n"/>
      <c r="J32" s="15" t="n"/>
      <c r="K32" s="15" t="n"/>
      <c r="L32" s="15" t="n"/>
      <c r="M32" s="15" t="n"/>
      <c r="N32" s="26" t="inlineStr">
        <is>
          <t>▸</t>
        </is>
      </c>
      <c r="O32" s="27" t="n"/>
      <c r="P32" s="27" t="n"/>
      <c r="Q32" s="27" t="n"/>
      <c r="R32" s="27" t="n"/>
      <c r="S32" s="27" t="n"/>
      <c r="T32" s="27" t="n"/>
      <c r="U32" s="27" t="n"/>
      <c r="V32" s="27" t="n"/>
      <c r="W32" s="27" t="n"/>
      <c r="X32" s="27" t="n"/>
      <c r="Y32" s="27" t="n"/>
      <c r="Z32" s="27" t="n"/>
      <c r="AA32" s="27" t="n"/>
      <c r="AB32" s="27" t="n"/>
      <c r="AC32" s="27" t="n"/>
      <c r="AD32" s="27" t="n"/>
      <c r="AE32" s="27" t="n"/>
      <c r="AF32" s="27" t="n"/>
      <c r="AG32" s="27" t="n"/>
    </row>
    <row r="33">
      <c r="A33" s="8" t="inlineStr">
        <is>
          <t>4.5</t>
        </is>
      </c>
      <c r="B33" s="9" t="inlineStr">
        <is>
          <t>SBBIS &amp; DEFECTS TARGETING</t>
        </is>
      </c>
      <c r="C33" s="10" t="inlineStr">
        <is>
          <t>Launch outbound to 12-month renewal buildings — renewal timing pitch</t>
        </is>
      </c>
      <c r="D33" s="11" t="inlineStr">
        <is>
          <t>Khoi</t>
        </is>
      </c>
      <c r="E33" s="12" t="inlineStr">
        <is>
          <t>W8</t>
        </is>
      </c>
      <c r="F33" s="12" t="inlineStr">
        <is>
          <t>W26</t>
        </is>
      </c>
      <c r="G33" s="9" t="inlineStr">
        <is>
          <t>Ongoing outbound to renewal buildings</t>
        </is>
      </c>
      <c r="H33" s="15" t="n"/>
      <c r="I33" s="15" t="n"/>
      <c r="J33" s="15" t="n"/>
      <c r="K33" s="15" t="n"/>
      <c r="L33" s="15" t="n"/>
      <c r="M33" s="15" t="n"/>
      <c r="N33" s="15" t="n"/>
      <c r="O33" s="26" t="inlineStr">
        <is>
          <t>▸</t>
        </is>
      </c>
      <c r="P33" s="27" t="n"/>
      <c r="Q33" s="27" t="n"/>
      <c r="R33" s="27" t="n"/>
      <c r="S33" s="27" t="n"/>
      <c r="T33" s="27" t="n"/>
      <c r="U33" s="27" t="n"/>
      <c r="V33" s="27" t="n"/>
      <c r="W33" s="27" t="n"/>
      <c r="X33" s="27" t="n"/>
      <c r="Y33" s="27" t="n"/>
      <c r="Z33" s="27" t="n"/>
      <c r="AA33" s="27" t="n"/>
      <c r="AB33" s="27" t="n"/>
      <c r="AC33" s="27" t="n"/>
      <c r="AD33" s="27" t="n"/>
      <c r="AE33" s="27" t="n"/>
      <c r="AF33" s="27" t="n"/>
      <c r="AG33" s="27" t="n"/>
    </row>
    <row r="34">
      <c r="A34" s="8" t="inlineStr">
        <is>
          <t>4.6</t>
        </is>
      </c>
      <c r="B34" s="9" t="inlineStr">
        <is>
          <t>SBBIS &amp; DEFECTS TARGETING</t>
        </is>
      </c>
      <c r="C34" s="10" t="inlineStr">
        <is>
          <t>Build Google Ads campaign targeting defects/SBBIS keywords</t>
        </is>
      </c>
      <c r="D34" s="11" t="inlineStr">
        <is>
          <t>Khoi</t>
        </is>
      </c>
      <c r="E34" s="12" t="inlineStr">
        <is>
          <t>W8</t>
        </is>
      </c>
      <c r="F34" s="12" t="inlineStr">
        <is>
          <t>W10</t>
        </is>
      </c>
      <c r="G34" s="9" t="inlineStr">
        <is>
          <t>Paid campaign live</t>
        </is>
      </c>
      <c r="H34" s="15" t="n"/>
      <c r="I34" s="15" t="n"/>
      <c r="J34" s="15" t="n"/>
      <c r="K34" s="15" t="n"/>
      <c r="L34" s="15" t="n"/>
      <c r="M34" s="15" t="n"/>
      <c r="N34" s="15" t="n"/>
      <c r="O34" s="26" t="inlineStr">
        <is>
          <t>▸</t>
        </is>
      </c>
      <c r="P34" s="27" t="n"/>
      <c r="Q34" s="27" t="n"/>
      <c r="R34" s="15" t="n"/>
      <c r="S34" s="15" t="n"/>
      <c r="T34" s="15" t="n"/>
      <c r="U34" s="15" t="n"/>
      <c r="V34" s="15" t="n"/>
      <c r="W34" s="15" t="n"/>
      <c r="X34" s="15" t="n"/>
      <c r="Y34" s="15" t="n"/>
      <c r="Z34" s="15" t="n"/>
      <c r="AA34" s="15" t="n"/>
      <c r="AB34" s="15" t="n"/>
      <c r="AC34" s="15" t="n"/>
      <c r="AD34" s="15" t="n"/>
      <c r="AE34" s="15" t="n"/>
      <c r="AF34" s="15" t="n"/>
      <c r="AG34" s="15" t="n"/>
    </row>
    <row r="35">
      <c r="A35" s="28" t="inlineStr">
        <is>
          <t xml:space="preserve">  LARGE BUILDING KEY ACCOUNT</t>
        </is>
      </c>
      <c r="B35" s="64" t="n"/>
      <c r="C35" s="64" t="n"/>
      <c r="D35" s="64" t="n"/>
      <c r="E35" s="64" t="n"/>
      <c r="F35" s="64" t="n"/>
      <c r="G35" s="64"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c r="AB35" s="64" t="n"/>
      <c r="AC35" s="64" t="n"/>
      <c r="AD35" s="64" t="n"/>
      <c r="AE35" s="64" t="n"/>
      <c r="AF35" s="64" t="n"/>
      <c r="AG35" s="65" t="n"/>
    </row>
    <row r="36">
      <c r="A36" s="8" t="inlineStr">
        <is>
          <t>5.1</t>
        </is>
      </c>
      <c r="B36" s="9" t="inlineStr">
        <is>
          <t>LARGE BUILDING KEY ACCOUNT</t>
        </is>
      </c>
      <c r="C36" s="10" t="inlineStr">
        <is>
          <t>Define target criteria — lot count (50+), Sydney geography, high-value buildings</t>
        </is>
      </c>
      <c r="D36" s="11" t="inlineStr">
        <is>
          <t>Khoi/Bill</t>
        </is>
      </c>
      <c r="E36" s="12" t="inlineStr">
        <is>
          <t>W5</t>
        </is>
      </c>
      <c r="F36" s="12" t="inlineStr">
        <is>
          <t>W7</t>
        </is>
      </c>
      <c r="G36" s="9" t="inlineStr">
        <is>
          <t>Target criteria documented</t>
        </is>
      </c>
      <c r="H36" s="15" t="n"/>
      <c r="I36" s="15" t="n"/>
      <c r="J36" s="15" t="n"/>
      <c r="K36" s="15" t="n"/>
      <c r="L36" s="30" t="inlineStr">
        <is>
          <t>▸</t>
        </is>
      </c>
      <c r="M36" s="31" t="n"/>
      <c r="N36" s="31" t="n"/>
      <c r="O36" s="15" t="n"/>
      <c r="P36" s="15" t="n"/>
      <c r="Q36" s="15" t="n"/>
      <c r="R36" s="15" t="n"/>
      <c r="S36" s="15" t="n"/>
      <c r="T36" s="15" t="n"/>
      <c r="U36" s="15" t="n"/>
      <c r="V36" s="15" t="n"/>
      <c r="W36" s="15" t="n"/>
      <c r="X36" s="15" t="n"/>
      <c r="Y36" s="15" t="n"/>
      <c r="Z36" s="15" t="n"/>
      <c r="AA36" s="15" t="n"/>
      <c r="AB36" s="15" t="n"/>
      <c r="AC36" s="15" t="n"/>
      <c r="AD36" s="15" t="n"/>
      <c r="AE36" s="15" t="n"/>
      <c r="AF36" s="15" t="n"/>
      <c r="AG36" s="15" t="n"/>
    </row>
    <row r="37">
      <c r="A37" s="8" t="inlineStr">
        <is>
          <t>5.2</t>
        </is>
      </c>
      <c r="B37" s="9" t="inlineStr">
        <is>
          <t>LARGE BUILDING KEY ACCOUNT</t>
        </is>
      </c>
      <c r="C37" s="10" t="inlineStr">
        <is>
          <t>Research and build target list — 20-30 large buildings with contacts/pain signals</t>
        </is>
      </c>
      <c r="D37" s="11" t="inlineStr">
        <is>
          <t>Khoi</t>
        </is>
      </c>
      <c r="E37" s="12" t="inlineStr">
        <is>
          <t>W7</t>
        </is>
      </c>
      <c r="F37" s="12" t="inlineStr">
        <is>
          <t>W10</t>
        </is>
      </c>
      <c r="G37" s="9" t="inlineStr">
        <is>
          <t>Researched target list</t>
        </is>
      </c>
      <c r="H37" s="15" t="n"/>
      <c r="I37" s="15" t="n"/>
      <c r="J37" s="15" t="n"/>
      <c r="K37" s="15" t="n"/>
      <c r="L37" s="15" t="n"/>
      <c r="M37" s="15" t="n"/>
      <c r="N37" s="30" t="inlineStr">
        <is>
          <t>▸</t>
        </is>
      </c>
      <c r="O37" s="31" t="n"/>
      <c r="P37" s="31" t="n"/>
      <c r="Q37" s="31" t="n"/>
      <c r="R37" s="15" t="n"/>
      <c r="S37" s="15" t="n"/>
      <c r="T37" s="15" t="n"/>
      <c r="U37" s="15" t="n"/>
      <c r="V37" s="15" t="n"/>
      <c r="W37" s="15" t="n"/>
      <c r="X37" s="15" t="n"/>
      <c r="Y37" s="15" t="n"/>
      <c r="Z37" s="15" t="n"/>
      <c r="AA37" s="15" t="n"/>
      <c r="AB37" s="15" t="n"/>
      <c r="AC37" s="15" t="n"/>
      <c r="AD37" s="15" t="n"/>
      <c r="AE37" s="15" t="n"/>
      <c r="AF37" s="15" t="n"/>
      <c r="AG37" s="15" t="n"/>
    </row>
    <row r="38">
      <c r="A38" s="8" t="inlineStr">
        <is>
          <t>5.3</t>
        </is>
      </c>
      <c r="B38" s="9" t="inlineStr">
        <is>
          <t>LARGE BUILDING KEY ACCOUNT</t>
        </is>
      </c>
      <c r="C38" s="10" t="inlineStr">
        <is>
          <t>Develop key account approach — personalised outreach, tailored proposals</t>
        </is>
      </c>
      <c r="D38" s="11" t="inlineStr">
        <is>
          <t>Khoi/Bill</t>
        </is>
      </c>
      <c r="E38" s="12" t="inlineStr">
        <is>
          <t>W9</t>
        </is>
      </c>
      <c r="F38" s="12" t="inlineStr">
        <is>
          <t>W11</t>
        </is>
      </c>
      <c r="G38" s="9" t="inlineStr">
        <is>
          <t>Key account playbook</t>
        </is>
      </c>
      <c r="H38" s="15" t="n"/>
      <c r="I38" s="15" t="n"/>
      <c r="J38" s="15" t="n"/>
      <c r="K38" s="15" t="n"/>
      <c r="L38" s="15" t="n"/>
      <c r="M38" s="15" t="n"/>
      <c r="N38" s="15" t="n"/>
      <c r="O38" s="15" t="n"/>
      <c r="P38" s="30" t="inlineStr">
        <is>
          <t>▸</t>
        </is>
      </c>
      <c r="Q38" s="31" t="n"/>
      <c r="R38" s="31" t="n"/>
      <c r="S38" s="15" t="n"/>
      <c r="T38" s="15" t="n"/>
      <c r="U38" s="15" t="n"/>
      <c r="V38" s="15" t="n"/>
      <c r="W38" s="15" t="n"/>
      <c r="X38" s="15" t="n"/>
      <c r="Y38" s="15" t="n"/>
      <c r="Z38" s="15" t="n"/>
      <c r="AA38" s="15" t="n"/>
      <c r="AB38" s="15" t="n"/>
      <c r="AC38" s="15" t="n"/>
      <c r="AD38" s="15" t="n"/>
      <c r="AE38" s="15" t="n"/>
      <c r="AF38" s="15" t="n"/>
      <c r="AG38" s="15" t="n"/>
    </row>
    <row r="39">
      <c r="A39" s="8" t="inlineStr">
        <is>
          <t>5.4</t>
        </is>
      </c>
      <c r="B39" s="9" t="inlineStr">
        <is>
          <t>LARGE BUILDING KEY ACCOUNT</t>
        </is>
      </c>
      <c r="C39" s="10" t="inlineStr">
        <is>
          <t>Launch key account outreach — 1-2 targets per week</t>
        </is>
      </c>
      <c r="D39" s="11" t="inlineStr">
        <is>
          <t>Khoi/Bill</t>
        </is>
      </c>
      <c r="E39" s="12" t="inlineStr">
        <is>
          <t>W11</t>
        </is>
      </c>
      <c r="F39" s="12" t="inlineStr">
        <is>
          <t>W26</t>
        </is>
      </c>
      <c r="G39" s="9" t="inlineStr">
        <is>
          <t>Ongoing — Bill takes discovery calls</t>
        </is>
      </c>
      <c r="H39" s="15" t="n"/>
      <c r="I39" s="15" t="n"/>
      <c r="J39" s="15" t="n"/>
      <c r="K39" s="15" t="n"/>
      <c r="L39" s="15" t="n"/>
      <c r="M39" s="15" t="n"/>
      <c r="N39" s="15" t="n"/>
      <c r="O39" s="15" t="n"/>
      <c r="P39" s="15" t="n"/>
      <c r="Q39" s="15" t="n"/>
      <c r="R39" s="30" t="inlineStr">
        <is>
          <t>▸</t>
        </is>
      </c>
      <c r="S39" s="31" t="n"/>
      <c r="T39" s="31" t="n"/>
      <c r="U39" s="31" t="n"/>
      <c r="V39" s="31" t="n"/>
      <c r="W39" s="31" t="n"/>
      <c r="X39" s="31" t="n"/>
      <c r="Y39" s="31" t="n"/>
      <c r="Z39" s="31" t="n"/>
      <c r="AA39" s="31" t="n"/>
      <c r="AB39" s="31" t="n"/>
      <c r="AC39" s="31" t="n"/>
      <c r="AD39" s="31" t="n"/>
      <c r="AE39" s="31" t="n"/>
      <c r="AF39" s="31" t="n"/>
      <c r="AG39" s="31" t="n"/>
    </row>
    <row r="40">
      <c r="A40" s="8" t="inlineStr">
        <is>
          <t>5.5</t>
        </is>
      </c>
      <c r="B40" s="9" t="inlineStr">
        <is>
          <t>LARGE BUILDING KEY ACCOUNT</t>
        </is>
      </c>
      <c r="C40" s="10" t="inlineStr">
        <is>
          <t>AGM targeting — identify large buildings with AGMs next quarter, time outreach</t>
        </is>
      </c>
      <c r="D40" s="11" t="inlineStr">
        <is>
          <t>Khoi</t>
        </is>
      </c>
      <c r="E40" s="12" t="inlineStr">
        <is>
          <t>W12</t>
        </is>
      </c>
      <c r="F40" s="12" t="inlineStr">
        <is>
          <t>W26</t>
        </is>
      </c>
      <c r="G40" s="9" t="inlineStr">
        <is>
          <t>AGM calendar tracked</t>
        </is>
      </c>
      <c r="H40" s="15" t="n"/>
      <c r="I40" s="15" t="n"/>
      <c r="J40" s="15" t="n"/>
      <c r="K40" s="15" t="n"/>
      <c r="L40" s="15" t="n"/>
      <c r="M40" s="15" t="n"/>
      <c r="N40" s="15" t="n"/>
      <c r="O40" s="15" t="n"/>
      <c r="P40" s="15" t="n"/>
      <c r="Q40" s="15" t="n"/>
      <c r="R40" s="15" t="n"/>
      <c r="S40" s="30" t="inlineStr">
        <is>
          <t>▸</t>
        </is>
      </c>
      <c r="T40" s="31" t="n"/>
      <c r="U40" s="31" t="n"/>
      <c r="V40" s="31" t="n"/>
      <c r="W40" s="31" t="n"/>
      <c r="X40" s="31" t="n"/>
      <c r="Y40" s="31" t="n"/>
      <c r="Z40" s="31" t="n"/>
      <c r="AA40" s="31" t="n"/>
      <c r="AB40" s="31" t="n"/>
      <c r="AC40" s="31" t="n"/>
      <c r="AD40" s="31" t="n"/>
      <c r="AE40" s="31" t="n"/>
      <c r="AF40" s="31" t="n"/>
      <c r="AG40" s="31" t="n"/>
    </row>
    <row r="41">
      <c r="A41" s="32" t="inlineStr">
        <is>
          <t xml:space="preserve">  PIPELINE REPORTING &amp; GOVERNANCE</t>
        </is>
      </c>
      <c r="B41" s="64" t="n"/>
      <c r="C41" s="64" t="n"/>
      <c r="D41" s="64" t="n"/>
      <c r="E41" s="64" t="n"/>
      <c r="F41" s="64" t="n"/>
      <c r="G41" s="64" t="n"/>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c r="AB41" s="64" t="n"/>
      <c r="AC41" s="64" t="n"/>
      <c r="AD41" s="64" t="n"/>
      <c r="AE41" s="64" t="n"/>
      <c r="AF41" s="64" t="n"/>
      <c r="AG41" s="65" t="n"/>
    </row>
    <row r="42">
      <c r="A42" s="8" t="inlineStr">
        <is>
          <t>6.1</t>
        </is>
      </c>
      <c r="B42" s="9" t="inlineStr">
        <is>
          <t>PIPELINE REPORTING &amp; GOVERNANCE</t>
        </is>
      </c>
      <c r="C42" s="10" t="inlineStr">
        <is>
          <t>Build pipeline dashboard — leads by channel, conversions, CAC</t>
        </is>
      </c>
      <c r="D42" s="11" t="inlineStr">
        <is>
          <t>Khoi</t>
        </is>
      </c>
      <c r="E42" s="12" t="inlineStr">
        <is>
          <t>W3</t>
        </is>
      </c>
      <c r="F42" s="12" t="inlineStr">
        <is>
          <t>W5</t>
        </is>
      </c>
      <c r="G42" s="9" t="inlineStr">
        <is>
          <t>Dashboard operational</t>
        </is>
      </c>
      <c r="H42" s="15" t="n"/>
      <c r="I42" s="15" t="n"/>
      <c r="J42" s="34" t="inlineStr">
        <is>
          <t>▸</t>
        </is>
      </c>
      <c r="K42" s="35" t="n"/>
      <c r="L42" s="3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row>
    <row r="43">
      <c r="A43" s="8" t="inlineStr">
        <is>
          <t>6.2</t>
        </is>
      </c>
      <c r="B43" s="9" t="inlineStr">
        <is>
          <t>PIPELINE REPORTING &amp; GOVERNANCE</t>
        </is>
      </c>
      <c r="C43" s="10" t="inlineStr">
        <is>
          <t>Weekly pipeline review with Bill (15 min Friday)</t>
        </is>
      </c>
      <c r="D43" s="11" t="inlineStr">
        <is>
          <t>Khoi/Bill</t>
        </is>
      </c>
      <c r="E43" s="12" t="inlineStr">
        <is>
          <t>W4</t>
        </is>
      </c>
      <c r="F43" s="12" t="inlineStr">
        <is>
          <t>W26</t>
        </is>
      </c>
      <c r="G43" s="9" t="inlineStr">
        <is>
          <t>Standing meeting</t>
        </is>
      </c>
      <c r="H43" s="15" t="n"/>
      <c r="I43" s="15" t="n"/>
      <c r="J43" s="15" t="n"/>
      <c r="K43" s="34" t="inlineStr">
        <is>
          <t>▸</t>
        </is>
      </c>
      <c r="L43" s="35" t="n"/>
      <c r="M43" s="35" t="n"/>
      <c r="N43" s="35" t="n"/>
      <c r="O43" s="35" t="n"/>
      <c r="P43" s="35" t="n"/>
      <c r="Q43" s="35" t="n"/>
      <c r="R43" s="35" t="n"/>
      <c r="S43" s="35" t="n"/>
      <c r="T43" s="35" t="n"/>
      <c r="U43" s="35" t="n"/>
      <c r="V43" s="35" t="n"/>
      <c r="W43" s="35" t="n"/>
      <c r="X43" s="35" t="n"/>
      <c r="Y43" s="35" t="n"/>
      <c r="Z43" s="35" t="n"/>
      <c r="AA43" s="35" t="n"/>
      <c r="AB43" s="35" t="n"/>
      <c r="AC43" s="35" t="n"/>
      <c r="AD43" s="35" t="n"/>
      <c r="AE43" s="35" t="n"/>
      <c r="AF43" s="35" t="n"/>
      <c r="AG43" s="35" t="n"/>
    </row>
    <row r="44">
      <c r="A44" s="8" t="inlineStr">
        <is>
          <t>6.3</t>
        </is>
      </c>
      <c r="B44" s="9" t="inlineStr">
        <is>
          <t>PIPELINE REPORTING &amp; GOVERNANCE</t>
        </is>
      </c>
      <c r="C44" s="10" t="inlineStr">
        <is>
          <t>Monthly funnel analysis — conversion rates by stage/channel/campaign</t>
        </is>
      </c>
      <c r="D44" s="11" t="inlineStr">
        <is>
          <t>Khoi</t>
        </is>
      </c>
      <c r="E44" s="12" t="inlineStr">
        <is>
          <t>W8</t>
        </is>
      </c>
      <c r="F44" s="12" t="inlineStr">
        <is>
          <t>W26</t>
        </is>
      </c>
      <c r="G44" s="9" t="inlineStr">
        <is>
          <t>Monthly report to Bill</t>
        </is>
      </c>
      <c r="H44" s="15" t="n"/>
      <c r="I44" s="15" t="n"/>
      <c r="J44" s="15" t="n"/>
      <c r="K44" s="15" t="n"/>
      <c r="L44" s="15" t="n"/>
      <c r="M44" s="15" t="n"/>
      <c r="N44" s="15" t="n"/>
      <c r="O44" s="34" t="inlineStr">
        <is>
          <t>▸</t>
        </is>
      </c>
      <c r="P44" s="35" t="n"/>
      <c r="Q44" s="35" t="n"/>
      <c r="R44" s="35" t="n"/>
      <c r="S44" s="35" t="n"/>
      <c r="T44" s="35" t="n"/>
      <c r="U44" s="35" t="n"/>
      <c r="V44" s="35" t="n"/>
      <c r="W44" s="35" t="n"/>
      <c r="X44" s="35" t="n"/>
      <c r="Y44" s="35" t="n"/>
      <c r="Z44" s="35" t="n"/>
      <c r="AA44" s="35" t="n"/>
      <c r="AB44" s="35" t="n"/>
      <c r="AC44" s="35" t="n"/>
      <c r="AD44" s="35" t="n"/>
      <c r="AE44" s="35" t="n"/>
      <c r="AF44" s="35" t="n"/>
      <c r="AG44" s="35" t="n"/>
    </row>
    <row r="46">
      <c r="A46" s="66" t="inlineStr">
        <is>
          <t xml:space="preserve">  AI GTM PLATFORM ARCHITECTURE</t>
        </is>
      </c>
      <c r="B46" s="67" t="n"/>
      <c r="C46" s="67" t="n"/>
      <c r="D46" s="67" t="n"/>
      <c r="E46" s="67" t="n"/>
      <c r="F46" s="67" t="n"/>
      <c r="G46" s="67" t="n"/>
      <c r="H46" s="67" t="n"/>
      <c r="I46" s="67" t="n"/>
      <c r="J46" s="67" t="n"/>
      <c r="K46" s="67" t="n"/>
      <c r="L46" s="67" t="n"/>
      <c r="M46" s="67" t="n"/>
      <c r="N46" s="67" t="n"/>
      <c r="O46" s="67" t="n"/>
      <c r="P46" s="67" t="n"/>
      <c r="Q46" s="67" t="n"/>
      <c r="R46" s="67" t="n"/>
      <c r="S46" s="67" t="n"/>
      <c r="T46" s="67" t="n"/>
      <c r="U46" s="67" t="n"/>
      <c r="V46" s="67" t="n"/>
      <c r="W46" s="67" t="n"/>
      <c r="X46" s="67" t="n"/>
      <c r="Y46" s="67" t="n"/>
      <c r="Z46" s="67" t="n"/>
      <c r="AA46" s="67" t="n"/>
      <c r="AB46" s="67" t="n"/>
      <c r="AC46" s="67" t="n"/>
      <c r="AD46" s="67" t="n"/>
      <c r="AE46" s="67" t="n"/>
      <c r="AF46" s="67" t="n"/>
      <c r="AG46" s="67" t="n"/>
    </row>
    <row r="47">
      <c r="A47" s="8" t="inlineStr">
        <is>
          <t>7.1</t>
        </is>
      </c>
      <c r="B47" s="9" t="inlineStr">
        <is>
          <t>AI GTM Platform</t>
        </is>
      </c>
      <c r="C47" s="10" t="inlineStr">
        <is>
          <t>Document manual workflows as-built — every step Khoi executes, inputs/outputs, systems used, time per step</t>
        </is>
      </c>
      <c r="D47" s="11" t="inlineStr">
        <is>
          <t>Khoi</t>
        </is>
      </c>
      <c r="E47" s="12" t="inlineStr">
        <is>
          <t>W4</t>
        </is>
      </c>
      <c r="F47" s="12" t="inlineStr">
        <is>
          <t>W8</t>
        </is>
      </c>
      <c r="G47" s="9" t="inlineStr">
        <is>
          <t>Workflow documentation complete</t>
        </is>
      </c>
      <c r="H47" s="15" t="n"/>
      <c r="I47" s="15" t="n"/>
      <c r="J47" s="15" t="n"/>
      <c r="K47" s="26" t="inlineStr">
        <is>
          <t>▸</t>
        </is>
      </c>
      <c r="L47" s="27" t="n"/>
      <c r="M47" s="27" t="n"/>
      <c r="N47" s="27" t="n"/>
      <c r="O47" s="27" t="n"/>
      <c r="P47" s="15" t="n"/>
      <c r="Q47" s="15" t="n"/>
      <c r="R47" s="15" t="n"/>
      <c r="S47" s="15" t="n"/>
      <c r="T47" s="15" t="n"/>
      <c r="U47" s="15" t="n"/>
      <c r="V47" s="15" t="n"/>
      <c r="W47" s="15" t="n"/>
      <c r="X47" s="15" t="n"/>
      <c r="Y47" s="15" t="n"/>
      <c r="Z47" s="15" t="n"/>
      <c r="AA47" s="15" t="n"/>
      <c r="AB47" s="15" t="n"/>
      <c r="AC47" s="15" t="n"/>
      <c r="AD47" s="15" t="n"/>
      <c r="AE47" s="15" t="n"/>
      <c r="AF47" s="15" t="n"/>
      <c r="AG47" s="15" t="n"/>
    </row>
    <row r="48">
      <c r="A48" s="8" t="inlineStr">
        <is>
          <t>7.2</t>
        </is>
      </c>
      <c r="B48" s="9" t="inlineStr">
        <is>
          <t>AI GTM Platform</t>
        </is>
      </c>
      <c r="C48" s="10" t="inlineStr">
        <is>
          <t>Map data flows between systems — HubSpot ↔ Zendesk ↔ Google Ads ↔ StrataMax ↔ website</t>
        </is>
      </c>
      <c r="D48" s="11" t="inlineStr">
        <is>
          <t>Khoi/Quang</t>
        </is>
      </c>
      <c r="E48" s="12" t="inlineStr">
        <is>
          <t>W6</t>
        </is>
      </c>
      <c r="F48" s="12" t="inlineStr">
        <is>
          <t>W9</t>
        </is>
      </c>
      <c r="G48" s="9" t="inlineStr">
        <is>
          <t>Integration map delivered</t>
        </is>
      </c>
      <c r="H48" s="15" t="n"/>
      <c r="I48" s="15" t="n"/>
      <c r="J48" s="15" t="n"/>
      <c r="K48" s="15" t="n"/>
      <c r="L48" s="15" t="n"/>
      <c r="M48" s="26" t="inlineStr">
        <is>
          <t>▸</t>
        </is>
      </c>
      <c r="N48" s="27" t="n"/>
      <c r="O48" s="27" t="n"/>
      <c r="P48" s="27" t="n"/>
      <c r="Q48" s="15" t="n"/>
      <c r="R48" s="15" t="n"/>
      <c r="S48" s="15" t="n"/>
      <c r="T48" s="15" t="n"/>
      <c r="U48" s="15" t="n"/>
      <c r="V48" s="15" t="n"/>
      <c r="W48" s="15" t="n"/>
      <c r="X48" s="15" t="n"/>
      <c r="Y48" s="15" t="n"/>
      <c r="Z48" s="15" t="n"/>
      <c r="AA48" s="15" t="n"/>
      <c r="AB48" s="15" t="n"/>
      <c r="AC48" s="15" t="n"/>
      <c r="AD48" s="15" t="n"/>
      <c r="AE48" s="15" t="n"/>
      <c r="AF48" s="15" t="n"/>
      <c r="AG48" s="15" t="n"/>
    </row>
    <row r="49">
      <c r="A49" s="8" t="inlineStr">
        <is>
          <t>7.3</t>
        </is>
      </c>
      <c r="B49" s="9" t="inlineStr">
        <is>
          <t>AI GTM Platform</t>
        </is>
      </c>
      <c r="C49" s="10" t="inlineStr">
        <is>
          <t>Identify automation candidates — rank each workflow step by: automatable (Y/N), ROI, complexity, human judgement required</t>
        </is>
      </c>
      <c r="D49" s="11" t="inlineStr">
        <is>
          <t>Khoi</t>
        </is>
      </c>
      <c r="E49" s="12" t="inlineStr">
        <is>
          <t>W8</t>
        </is>
      </c>
      <c r="F49" s="12" t="inlineStr">
        <is>
          <t>W10</t>
        </is>
      </c>
      <c r="G49" s="9" t="inlineStr">
        <is>
          <t>Prioritised automation backlog</t>
        </is>
      </c>
      <c r="H49" s="15" t="n"/>
      <c r="I49" s="15" t="n"/>
      <c r="J49" s="15" t="n"/>
      <c r="K49" s="15" t="n"/>
      <c r="L49" s="15" t="n"/>
      <c r="M49" s="15" t="n"/>
      <c r="N49" s="15" t="n"/>
      <c r="O49" s="26" t="inlineStr">
        <is>
          <t>▸</t>
        </is>
      </c>
      <c r="P49" s="27" t="n"/>
      <c r="Q49" s="27" t="n"/>
      <c r="R49" s="15" t="n"/>
      <c r="S49" s="15" t="n"/>
      <c r="T49" s="15" t="n"/>
      <c r="U49" s="15" t="n"/>
      <c r="V49" s="15" t="n"/>
      <c r="W49" s="15" t="n"/>
      <c r="X49" s="15" t="n"/>
      <c r="Y49" s="15" t="n"/>
      <c r="Z49" s="15" t="n"/>
      <c r="AA49" s="15" t="n"/>
      <c r="AB49" s="15" t="n"/>
      <c r="AC49" s="15" t="n"/>
      <c r="AD49" s="15" t="n"/>
      <c r="AE49" s="15" t="n"/>
      <c r="AF49" s="15" t="n"/>
      <c r="AG49" s="15" t="n"/>
    </row>
    <row r="50">
      <c r="A50" s="8" t="inlineStr">
        <is>
          <t>7.4</t>
        </is>
      </c>
      <c r="B50" s="9" t="inlineStr">
        <is>
          <t>AI GTM Platform</t>
        </is>
      </c>
      <c r="C50" s="10" t="inlineStr">
        <is>
          <t>Define AI agent specifications — what each agent does, inputs, outputs, guardrails, human-in-the-loop points</t>
        </is>
      </c>
      <c r="D50" s="11" t="inlineStr">
        <is>
          <t>Khoi/Quang</t>
        </is>
      </c>
      <c r="E50" s="12" t="inlineStr">
        <is>
          <t>W9</t>
        </is>
      </c>
      <c r="F50" s="12" t="inlineStr">
        <is>
          <t>W11</t>
        </is>
      </c>
      <c r="G50" s="9" t="inlineStr">
        <is>
          <t>Agent specs mapped to AI CMO swarm</t>
        </is>
      </c>
      <c r="H50" s="15" t="n"/>
      <c r="I50" s="15" t="n"/>
      <c r="J50" s="15" t="n"/>
      <c r="K50" s="15" t="n"/>
      <c r="L50" s="15" t="n"/>
      <c r="M50" s="15" t="n"/>
      <c r="N50" s="15" t="n"/>
      <c r="O50" s="15" t="n"/>
      <c r="P50" s="26" t="inlineStr">
        <is>
          <t>▸</t>
        </is>
      </c>
      <c r="Q50" s="27" t="n"/>
      <c r="R50" s="27" t="n"/>
      <c r="S50" s="15" t="n"/>
      <c r="T50" s="15" t="n"/>
      <c r="U50" s="15" t="n"/>
      <c r="V50" s="15" t="n"/>
      <c r="W50" s="15" t="n"/>
      <c r="X50" s="15" t="n"/>
      <c r="Y50" s="15" t="n"/>
      <c r="Z50" s="15" t="n"/>
      <c r="AA50" s="15" t="n"/>
      <c r="AB50" s="15" t="n"/>
      <c r="AC50" s="15" t="n"/>
      <c r="AD50" s="15" t="n"/>
      <c r="AE50" s="15" t="n"/>
      <c r="AF50" s="15" t="n"/>
      <c r="AG50" s="15" t="n"/>
    </row>
    <row r="51">
      <c r="A51" s="8" t="inlineStr">
        <is>
          <t>7.5</t>
        </is>
      </c>
      <c r="B51" s="9" t="inlineStr">
        <is>
          <t>AI GTM Platform</t>
        </is>
      </c>
      <c r="C51" s="10" t="inlineStr">
        <is>
          <t>Deliver AI GTM Architecture Spec — full document for engineering handover</t>
        </is>
      </c>
      <c r="D51" s="11" t="inlineStr">
        <is>
          <t>Khoi</t>
        </is>
      </c>
      <c r="E51" s="12" t="inlineStr">
        <is>
          <t>W11</t>
        </is>
      </c>
      <c r="F51" s="12" t="inlineStr">
        <is>
          <t>W12</t>
        </is>
      </c>
      <c r="G51" s="9" t="inlineStr">
        <is>
          <t>Spec delivered to Quang for build</t>
        </is>
      </c>
      <c r="H51" s="15" t="n"/>
      <c r="I51" s="15" t="n"/>
      <c r="J51" s="15" t="n"/>
      <c r="K51" s="15" t="n"/>
      <c r="L51" s="15" t="n"/>
      <c r="M51" s="15" t="n"/>
      <c r="N51" s="15" t="n"/>
      <c r="O51" s="15" t="n"/>
      <c r="P51" s="15" t="n"/>
      <c r="Q51" s="15" t="n"/>
      <c r="R51" s="26" t="inlineStr">
        <is>
          <t>▸</t>
        </is>
      </c>
      <c r="S51" s="27" t="n"/>
      <c r="T51" s="15" t="n"/>
      <c r="U51" s="15" t="n"/>
      <c r="V51" s="15" t="n"/>
      <c r="W51" s="15" t="n"/>
      <c r="X51" s="15" t="n"/>
      <c r="Y51" s="15" t="n"/>
      <c r="Z51" s="15" t="n"/>
      <c r="AA51" s="15" t="n"/>
      <c r="AB51" s="15" t="n"/>
      <c r="AC51" s="15" t="n"/>
      <c r="AD51" s="15" t="n"/>
      <c r="AE51" s="15" t="n"/>
      <c r="AF51" s="15" t="n"/>
      <c r="AG51" s="15" t="n"/>
    </row>
    <row r="52">
      <c r="A52" s="8" t="inlineStr">
        <is>
          <t>7.6</t>
        </is>
      </c>
      <c r="B52" s="9" t="inlineStr">
        <is>
          <t>AI GTM Platform</t>
        </is>
      </c>
      <c r="C52" s="10" t="inlineStr">
        <is>
          <t>Begin automation build — HubSpot→Zendesk integration, lead scoring rules, nurture workflows</t>
        </is>
      </c>
      <c r="D52" s="11" t="inlineStr">
        <is>
          <t>Khoi/Quang</t>
        </is>
      </c>
      <c r="E52" s="12" t="inlineStr">
        <is>
          <t>W13</t>
        </is>
      </c>
      <c r="F52" s="12" t="inlineStr">
        <is>
          <t>W26</t>
        </is>
      </c>
      <c r="G52" s="9" t="inlineStr">
        <is>
          <t>First automations live</t>
        </is>
      </c>
      <c r="H52" s="15" t="n"/>
      <c r="I52" s="15" t="n"/>
      <c r="J52" s="15" t="n"/>
      <c r="K52" s="15" t="n"/>
      <c r="L52" s="15" t="n"/>
      <c r="M52" s="15" t="n"/>
      <c r="N52" s="15" t="n"/>
      <c r="O52" s="15" t="n"/>
      <c r="P52" s="15" t="n"/>
      <c r="Q52" s="15" t="n"/>
      <c r="R52" s="15" t="n"/>
      <c r="S52" s="15" t="n"/>
      <c r="T52" s="26" t="inlineStr">
        <is>
          <t>▸</t>
        </is>
      </c>
      <c r="U52" s="27" t="n"/>
      <c r="V52" s="27" t="n"/>
      <c r="W52" s="27" t="n"/>
      <c r="X52" s="27" t="n"/>
      <c r="Y52" s="27" t="n"/>
      <c r="Z52" s="27" t="n"/>
      <c r="AA52" s="27" t="n"/>
      <c r="AB52" s="27" t="n"/>
      <c r="AC52" s="27" t="n"/>
      <c r="AD52" s="27" t="n"/>
      <c r="AE52" s="27" t="n"/>
      <c r="AF52" s="27" t="n"/>
      <c r="AG52" s="27" t="n"/>
    </row>
    <row r="53">
      <c r="A53" s="8" t="inlineStr">
        <is>
          <t>7.7</t>
        </is>
      </c>
      <c r="B53" s="9" t="inlineStr">
        <is>
          <t>AI GTM Platform</t>
        </is>
      </c>
      <c r="C53" s="10" t="inlineStr">
        <is>
          <t>Proposal automation — Claude Code /new-lead skill or Azure Function for template filling</t>
        </is>
      </c>
      <c r="D53" s="11" t="inlineStr">
        <is>
          <t>Khoi/Quang</t>
        </is>
      </c>
      <c r="E53" s="12" t="inlineStr">
        <is>
          <t>W14</t>
        </is>
      </c>
      <c r="F53" s="12" t="inlineStr">
        <is>
          <t>W20</t>
        </is>
      </c>
      <c r="G53" s="9" t="inlineStr">
        <is>
          <t>Proposals auto-generated from lead data</t>
        </is>
      </c>
      <c r="H53" s="15" t="n"/>
      <c r="I53" s="15" t="n"/>
      <c r="J53" s="15" t="n"/>
      <c r="K53" s="15" t="n"/>
      <c r="L53" s="15" t="n"/>
      <c r="M53" s="15" t="n"/>
      <c r="N53" s="15" t="n"/>
      <c r="O53" s="15" t="n"/>
      <c r="P53" s="15" t="n"/>
      <c r="Q53" s="15" t="n"/>
      <c r="R53" s="15" t="n"/>
      <c r="S53" s="15" t="n"/>
      <c r="T53" s="15" t="n"/>
      <c r="U53" s="26" t="inlineStr">
        <is>
          <t>▸</t>
        </is>
      </c>
      <c r="V53" s="27" t="n"/>
      <c r="W53" s="27" t="n"/>
      <c r="X53" s="27" t="n"/>
      <c r="Y53" s="27" t="n"/>
      <c r="Z53" s="27" t="n"/>
      <c r="AA53" s="27" t="n"/>
      <c r="AB53" s="15" t="n"/>
      <c r="AC53" s="15" t="n"/>
      <c r="AD53" s="15" t="n"/>
      <c r="AE53" s="15" t="n"/>
      <c r="AF53" s="15" t="n"/>
      <c r="AG53" s="15" t="n"/>
    </row>
    <row r="54">
      <c r="A54" s="8" t="inlineStr">
        <is>
          <t>7.8</t>
        </is>
      </c>
      <c r="B54" s="9" t="inlineStr">
        <is>
          <t>AI GTM Platform</t>
        </is>
      </c>
      <c r="C54" s="10" t="inlineStr">
        <is>
          <t>Outbound automation — scraper → target list → outreach trigger pipeline</t>
        </is>
      </c>
      <c r="D54" s="11" t="inlineStr">
        <is>
          <t>Khoi/Quang</t>
        </is>
      </c>
      <c r="E54" s="12" t="inlineStr">
        <is>
          <t>W16</t>
        </is>
      </c>
      <c r="F54" s="12" t="inlineStr">
        <is>
          <t>W22</t>
        </is>
      </c>
      <c r="G54" s="9" t="inlineStr">
        <is>
          <t>Automated prospecting pipeline</t>
        </is>
      </c>
      <c r="H54" s="15" t="n"/>
      <c r="I54" s="15" t="n"/>
      <c r="J54" s="15" t="n"/>
      <c r="K54" s="15" t="n"/>
      <c r="L54" s="15" t="n"/>
      <c r="M54" s="15" t="n"/>
      <c r="N54" s="15" t="n"/>
      <c r="O54" s="15" t="n"/>
      <c r="P54" s="15" t="n"/>
      <c r="Q54" s="15" t="n"/>
      <c r="R54" s="15" t="n"/>
      <c r="S54" s="15" t="n"/>
      <c r="T54" s="15" t="n"/>
      <c r="U54" s="15" t="n"/>
      <c r="V54" s="15" t="n"/>
      <c r="W54" s="26" t="inlineStr">
        <is>
          <t>▸</t>
        </is>
      </c>
      <c r="X54" s="27" t="n"/>
      <c r="Y54" s="27" t="n"/>
      <c r="Z54" s="27" t="n"/>
      <c r="AA54" s="27" t="n"/>
      <c r="AB54" s="27" t="n"/>
      <c r="AC54" s="27" t="n"/>
      <c r="AD54" s="15" t="n"/>
      <c r="AE54" s="15" t="n"/>
      <c r="AF54" s="15" t="n"/>
      <c r="AG54" s="15" t="n"/>
    </row>
  </sheetData>
  <mergeCells count="8">
    <mergeCell ref="A21:AG21"/>
    <mergeCell ref="A1:AF1"/>
    <mergeCell ref="A35:AG35"/>
    <mergeCell ref="A4:AG4"/>
    <mergeCell ref="A41:AG41"/>
    <mergeCell ref="A11:AG11"/>
    <mergeCell ref="A28:AG28"/>
    <mergeCell ref="A46:AG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cols>
    <col width="35" customWidth="1" min="1" max="1"/>
    <col width="14" customWidth="1" min="2" max="2"/>
    <col width="14" customWidth="1" min="3" max="3"/>
    <col width="14" customWidth="1" min="4" max="4"/>
    <col width="14" customWidth="1" min="5" max="5"/>
    <col width="18" customWidth="1" min="6" max="6"/>
    <col width="14" customWidth="1" min="7" max="7"/>
    <col width="14" customWidth="1" min="8" max="8"/>
    <col width="18" customWidth="1" min="9" max="9"/>
  </cols>
  <sheetData>
    <row r="1">
      <c r="A1" s="1" t="inlineStr">
        <is>
          <t>MTS GTM Outcome Measures — Target: 10 Buildings/Month</t>
        </is>
      </c>
    </row>
    <row r="3">
      <c r="A3" s="36" t="inlineStr">
        <is>
          <t>SECTION 1: Monthly Building Targets by Channel</t>
        </is>
      </c>
    </row>
    <row r="4">
      <c r="A4" s="2" t="inlineStr">
        <is>
          <t>Month</t>
        </is>
      </c>
      <c r="B4" s="2" t="inlineStr">
        <is>
          <t>Google Ads</t>
        </is>
      </c>
      <c r="C4" s="2" t="inlineStr">
        <is>
          <t>Old Lead DB</t>
        </is>
      </c>
      <c r="D4" s="2" t="inlineStr">
        <is>
          <t>Defects/SBBIS</t>
        </is>
      </c>
      <c r="E4" s="2" t="inlineStr">
        <is>
          <t>Large Building</t>
        </is>
      </c>
      <c r="F4" s="2" t="inlineStr">
        <is>
          <t>Total Target</t>
        </is>
      </c>
      <c r="G4" s="2" t="inlineStr">
        <is>
          <t>Actual</t>
        </is>
      </c>
      <c r="H4" s="2" t="inlineStr">
        <is>
          <t>Variance</t>
        </is>
      </c>
      <c r="I4" s="2" t="inlineStr">
        <is>
          <t>On Track?</t>
        </is>
      </c>
    </row>
    <row r="5">
      <c r="A5" s="8" t="inlineStr">
        <is>
          <t>Apr 2026</t>
        </is>
      </c>
      <c r="B5" s="11" t="n">
        <v>2.75</v>
      </c>
      <c r="C5" s="11" t="n">
        <v>0</v>
      </c>
      <c r="D5" s="11" t="n">
        <v>0</v>
      </c>
      <c r="E5" s="11" t="n">
        <v>0</v>
      </c>
      <c r="F5" s="8">
        <f>SUM(B5:E5)</f>
        <v/>
      </c>
      <c r="G5" s="37" t="n"/>
      <c r="H5" s="11">
        <f>IF(G5="","",G5-F5)</f>
        <v/>
      </c>
      <c r="I5" s="11">
        <f>IF(G5="","",IF(G5&gt;=F5,"✓","✗"))</f>
        <v/>
      </c>
    </row>
    <row r="6">
      <c r="A6" s="8" t="inlineStr">
        <is>
          <t>May 2026</t>
        </is>
      </c>
      <c r="B6" s="11" t="n">
        <v>4</v>
      </c>
      <c r="C6" s="11" t="n">
        <v>1</v>
      </c>
      <c r="D6" s="11" t="n">
        <v>0</v>
      </c>
      <c r="E6" s="11" t="n">
        <v>0</v>
      </c>
      <c r="F6" s="8">
        <f>SUM(B6:E6)</f>
        <v/>
      </c>
      <c r="G6" s="37" t="n"/>
      <c r="H6" s="11">
        <f>IF(G6="","",G6-F6)</f>
        <v/>
      </c>
      <c r="I6" s="11">
        <f>IF(G6="","",IF(G6&gt;=F6,"✓","✗"))</f>
        <v/>
      </c>
    </row>
    <row r="7">
      <c r="A7" s="8" t="inlineStr">
        <is>
          <t>Jun 2026</t>
        </is>
      </c>
      <c r="B7" s="11" t="n">
        <v>7</v>
      </c>
      <c r="C7" s="11" t="n">
        <v>2</v>
      </c>
      <c r="D7" s="11" t="n">
        <v>0.5</v>
      </c>
      <c r="E7" s="11" t="n">
        <v>0</v>
      </c>
      <c r="F7" s="8">
        <f>SUM(B7:E7)</f>
        <v/>
      </c>
      <c r="G7" s="37" t="n"/>
      <c r="H7" s="11">
        <f>IF(G7="","",G7-F7)</f>
        <v/>
      </c>
      <c r="I7" s="11">
        <f>IF(G7="","",IF(G7&gt;=F7,"✓","✗"))</f>
        <v/>
      </c>
    </row>
    <row r="8">
      <c r="A8" s="8" t="inlineStr">
        <is>
          <t>Jul 2026</t>
        </is>
      </c>
      <c r="B8" s="11" t="n">
        <v>10</v>
      </c>
      <c r="C8" s="11" t="n">
        <v>2.5</v>
      </c>
      <c r="D8" s="11" t="n">
        <v>1</v>
      </c>
      <c r="E8" s="11" t="n">
        <v>0.5</v>
      </c>
      <c r="F8" s="8">
        <f>SUM(B8:E8)</f>
        <v/>
      </c>
      <c r="G8" s="37" t="n"/>
      <c r="H8" s="11">
        <f>IF(G8="","",G8-F8)</f>
        <v/>
      </c>
      <c r="I8" s="11">
        <f>IF(G8="","",IF(G8&gt;=F8,"✓","✗"))</f>
        <v/>
      </c>
    </row>
    <row r="9">
      <c r="A9" s="8" t="inlineStr">
        <is>
          <t>Aug 2026</t>
        </is>
      </c>
      <c r="B9" s="11" t="n">
        <v>15</v>
      </c>
      <c r="C9" s="11" t="n">
        <v>2</v>
      </c>
      <c r="D9" s="11" t="n">
        <v>1.5</v>
      </c>
      <c r="E9" s="11" t="n">
        <v>0.5</v>
      </c>
      <c r="F9" s="8">
        <f>SUM(B9:E9)</f>
        <v/>
      </c>
      <c r="G9" s="37" t="n"/>
      <c r="H9" s="11">
        <f>IF(G9="","",G9-F9)</f>
        <v/>
      </c>
      <c r="I9" s="11">
        <f>IF(G9="","",IF(G9&gt;=F9,"✓","✗"))</f>
        <v/>
      </c>
    </row>
    <row r="10">
      <c r="A10" s="8" t="inlineStr">
        <is>
          <t>Sep 2026</t>
        </is>
      </c>
      <c r="B10" s="11" t="n">
        <v>18</v>
      </c>
      <c r="C10" s="11" t="n">
        <v>1.5</v>
      </c>
      <c r="D10" s="11" t="n">
        <v>1.5</v>
      </c>
      <c r="E10" s="11" t="n">
        <v>1</v>
      </c>
      <c r="F10" s="8">
        <f>SUM(B10:E10)</f>
        <v/>
      </c>
      <c r="G10" s="37" t="n"/>
      <c r="H10" s="11">
        <f>IF(G10="","",G10-F10)</f>
        <v/>
      </c>
      <c r="I10" s="11">
        <f>IF(G10="","",IF(G10&gt;=F10,"✓","✗"))</f>
        <v/>
      </c>
    </row>
    <row r="11">
      <c r="A11" s="8" t="inlineStr">
        <is>
          <t>Oct 2026</t>
        </is>
      </c>
      <c r="B11" s="11" t="n">
        <v>20</v>
      </c>
      <c r="C11" s="11" t="n">
        <v>1.5</v>
      </c>
      <c r="D11" s="11" t="n">
        <v>2</v>
      </c>
      <c r="E11" s="11" t="n">
        <v>1</v>
      </c>
      <c r="F11" s="8">
        <f>SUM(B11:E11)</f>
        <v/>
      </c>
      <c r="G11" s="37" t="n"/>
      <c r="H11" s="11">
        <f>IF(G11="","",G11-F11)</f>
        <v/>
      </c>
      <c r="I11" s="11">
        <f>IF(G11="","",IF(G11&gt;=F11,"✓","✗"))</f>
        <v/>
      </c>
    </row>
    <row r="12">
      <c r="A12" s="38" t="inlineStr">
        <is>
          <t>TOTAL (6 months)</t>
        </is>
      </c>
      <c r="B12" s="8">
        <f>SUM(B5:B11)</f>
        <v/>
      </c>
      <c r="C12" s="8">
        <f>SUM(C5:C11)</f>
        <v/>
      </c>
      <c r="D12" s="8">
        <f>SUM(D5:D11)</f>
        <v/>
      </c>
      <c r="E12" s="8">
        <f>SUM(E5:E11)</f>
        <v/>
      </c>
      <c r="F12" s="8">
        <f>SUM(F5:F11)</f>
        <v/>
      </c>
      <c r="G12" s="39">
        <f>IF(COUNTA(G5:G11)=0,"",SUM(G5:G11))</f>
        <v/>
      </c>
      <c r="H12" s="39">
        <f>IF(G12="","",G12-F12)</f>
        <v/>
      </c>
      <c r="I12" s="39" t="n"/>
    </row>
    <row r="14">
      <c r="A14" s="36" t="inlineStr">
        <is>
          <t>SECTION 2: Google Ads Funnel KPIs — Optimise Then Scale</t>
        </is>
      </c>
    </row>
    <row r="15">
      <c r="C15" s="40" t="inlineStr">
        <is>
          <t>← PHASE A: OPTIMISE (same budget) →</t>
        </is>
      </c>
      <c r="F15" s="41" t="inlineStr">
        <is>
          <t>← PHASE B: SCALE BUDGET →</t>
        </is>
      </c>
    </row>
    <row r="16">
      <c r="A16" s="2" t="inlineStr">
        <is>
          <t>Metric</t>
        </is>
      </c>
      <c r="B16" s="2" t="inlineStr">
        <is>
          <t>Current</t>
        </is>
      </c>
      <c r="C16" s="2" t="inlineStr">
        <is>
          <t>Month 1</t>
        </is>
      </c>
      <c r="D16" s="2" t="inlineStr">
        <is>
          <t>Month 2</t>
        </is>
      </c>
      <c r="E16" s="2" t="inlineStr">
        <is>
          <t>Month 3</t>
        </is>
      </c>
      <c r="F16" s="2" t="inlineStr">
        <is>
          <t>Month 4</t>
        </is>
      </c>
      <c r="G16" s="2" t="inlineStr">
        <is>
          <t>Month 5</t>
        </is>
      </c>
      <c r="H16" s="2" t="inlineStr">
        <is>
          <t>Month 6</t>
        </is>
      </c>
      <c r="I16" s="2" t="inlineStr">
        <is>
          <t>Month 6 Target</t>
        </is>
      </c>
    </row>
    <row r="17">
      <c r="A17" s="42" t="inlineStr">
        <is>
          <t>Ad Spend/month</t>
        </is>
      </c>
      <c r="B17" s="11" t="inlineStr">
        <is>
          <t>$5,162</t>
        </is>
      </c>
      <c r="C17" s="11" t="inlineStr">
        <is>
          <t>$5,162</t>
        </is>
      </c>
      <c r="D17" s="11" t="inlineStr">
        <is>
          <t>$5,162</t>
        </is>
      </c>
      <c r="E17" s="11" t="inlineStr">
        <is>
          <t>$5,162</t>
        </is>
      </c>
      <c r="F17" s="11" t="inlineStr">
        <is>
          <t>$8,000</t>
        </is>
      </c>
      <c r="G17" s="11" t="inlineStr">
        <is>
          <t>$10,000</t>
        </is>
      </c>
      <c r="H17" s="11" t="inlineStr">
        <is>
          <t>$12,000</t>
        </is>
      </c>
      <c r="I17" s="11" t="inlineStr">
        <is>
          <t>$12,000</t>
        </is>
      </c>
    </row>
    <row r="18">
      <c r="A18" s="42" t="inlineStr">
        <is>
          <t>CPC</t>
        </is>
      </c>
      <c r="B18" s="11" t="inlineStr">
        <is>
          <t>$8.40</t>
        </is>
      </c>
      <c r="C18" s="11" t="inlineStr">
        <is>
          <t>$8.00</t>
        </is>
      </c>
      <c r="D18" s="11" t="inlineStr">
        <is>
          <t>$7.20</t>
        </is>
      </c>
      <c r="E18" s="37" t="inlineStr">
        <is>
          <t>$6.30</t>
        </is>
      </c>
      <c r="F18" s="11" t="inlineStr">
        <is>
          <t>$6.30</t>
        </is>
      </c>
      <c r="G18" s="11" t="inlineStr">
        <is>
          <t>$6.30</t>
        </is>
      </c>
      <c r="H18" s="11" t="inlineStr">
        <is>
          <t>$6.30</t>
        </is>
      </c>
      <c r="I18" s="11" t="inlineStr">
        <is>
          <t>&lt;$6.50</t>
        </is>
      </c>
    </row>
    <row r="19">
      <c r="A19" s="42" t="inlineStr">
        <is>
          <t>Clicks/month</t>
        </is>
      </c>
      <c r="B19" s="11" t="inlineStr">
        <is>
          <t>615</t>
        </is>
      </c>
      <c r="C19" s="11" t="inlineStr">
        <is>
          <t>645</t>
        </is>
      </c>
      <c r="D19" s="11" t="inlineStr">
        <is>
          <t>717</t>
        </is>
      </c>
      <c r="E19" s="37" t="inlineStr">
        <is>
          <t>820</t>
        </is>
      </c>
      <c r="F19" s="11" t="inlineStr">
        <is>
          <t>1,270</t>
        </is>
      </c>
      <c r="G19" s="11" t="inlineStr">
        <is>
          <t>1,590</t>
        </is>
      </c>
      <c r="H19" s="11" t="inlineStr">
        <is>
          <t>1,900</t>
        </is>
      </c>
      <c r="I19" s="11" t="inlineStr">
        <is>
          <t>1,900</t>
        </is>
      </c>
    </row>
    <row r="20">
      <c r="A20" s="42" t="inlineStr">
        <is>
          <t>Click-to-form</t>
        </is>
      </c>
      <c r="B20" s="11" t="inlineStr">
        <is>
          <t>5.0%</t>
        </is>
      </c>
      <c r="C20" s="11" t="inlineStr">
        <is>
          <t>5.5%</t>
        </is>
      </c>
      <c r="D20" s="11" t="inlineStr">
        <is>
          <t>6.0%</t>
        </is>
      </c>
      <c r="E20" s="37" t="inlineStr">
        <is>
          <t>7.0%</t>
        </is>
      </c>
      <c r="F20" s="11" t="inlineStr">
        <is>
          <t>7.0%</t>
        </is>
      </c>
      <c r="G20" s="11" t="inlineStr">
        <is>
          <t>7.0%</t>
        </is>
      </c>
      <c r="H20" s="11" t="inlineStr">
        <is>
          <t>7.0%</t>
        </is>
      </c>
      <c r="I20" s="11" t="inlineStr">
        <is>
          <t>&gt;7%</t>
        </is>
      </c>
    </row>
    <row r="21">
      <c r="A21" s="42" t="inlineStr">
        <is>
          <t>Forms/month</t>
        </is>
      </c>
      <c r="B21" s="11" t="inlineStr">
        <is>
          <t>31</t>
        </is>
      </c>
      <c r="C21" s="11" t="inlineStr">
        <is>
          <t>35</t>
        </is>
      </c>
      <c r="D21" s="11" t="inlineStr">
        <is>
          <t>43</t>
        </is>
      </c>
      <c r="E21" s="37" t="inlineStr">
        <is>
          <t>57</t>
        </is>
      </c>
      <c r="F21" s="11" t="inlineStr">
        <is>
          <t>89</t>
        </is>
      </c>
      <c r="G21" s="11" t="inlineStr">
        <is>
          <t>111</t>
        </is>
      </c>
      <c r="H21" s="11" t="inlineStr">
        <is>
          <t>133</t>
        </is>
      </c>
      <c r="I21" s="11" t="inlineStr">
        <is>
          <t>130+</t>
        </is>
      </c>
    </row>
    <row r="22">
      <c r="A22" s="42" t="inlineStr">
        <is>
          <t>Form-to-call</t>
        </is>
      </c>
      <c r="B22" s="11" t="inlineStr">
        <is>
          <t>50%</t>
        </is>
      </c>
      <c r="C22" s="11" t="inlineStr">
        <is>
          <t>52%</t>
        </is>
      </c>
      <c r="D22" s="11" t="inlineStr">
        <is>
          <t>55%</t>
        </is>
      </c>
      <c r="E22" s="37" t="inlineStr">
        <is>
          <t>62%</t>
        </is>
      </c>
      <c r="F22" s="11" t="inlineStr">
        <is>
          <t>62%</t>
        </is>
      </c>
      <c r="G22" s="11" t="inlineStr">
        <is>
          <t>62%</t>
        </is>
      </c>
      <c r="H22" s="11" t="inlineStr">
        <is>
          <t>62%</t>
        </is>
      </c>
      <c r="I22" s="11" t="inlineStr">
        <is>
          <t>&gt;60%</t>
        </is>
      </c>
    </row>
    <row r="23">
      <c r="A23" s="42" t="inlineStr">
        <is>
          <t>Calls/month</t>
        </is>
      </c>
      <c r="B23" s="11" t="inlineStr">
        <is>
          <t>15</t>
        </is>
      </c>
      <c r="C23" s="11" t="inlineStr">
        <is>
          <t>18</t>
        </is>
      </c>
      <c r="D23" s="11" t="inlineStr">
        <is>
          <t>24</t>
        </is>
      </c>
      <c r="E23" s="37" t="inlineStr">
        <is>
          <t>35</t>
        </is>
      </c>
      <c r="F23" s="11" t="inlineStr">
        <is>
          <t>55</t>
        </is>
      </c>
      <c r="G23" s="11" t="inlineStr">
        <is>
          <t>69</t>
        </is>
      </c>
      <c r="H23" s="11" t="inlineStr">
        <is>
          <t>82</t>
        </is>
      </c>
      <c r="I23" s="11" t="inlineStr">
        <is>
          <t>80+</t>
        </is>
      </c>
    </row>
    <row r="24">
      <c r="A24" s="42" t="inlineStr">
        <is>
          <t>Call-to-won</t>
        </is>
      </c>
      <c r="B24" s="11" t="inlineStr">
        <is>
          <t>27.5%</t>
        </is>
      </c>
      <c r="C24" s="11" t="inlineStr">
        <is>
          <t>27.5%</t>
        </is>
      </c>
      <c r="D24" s="11" t="inlineStr">
        <is>
          <t>27.5%</t>
        </is>
      </c>
      <c r="E24" s="37" t="inlineStr">
        <is>
          <t>28%</t>
        </is>
      </c>
      <c r="F24" s="11" t="inlineStr">
        <is>
          <t>28%</t>
        </is>
      </c>
      <c r="G24" s="11" t="inlineStr">
        <is>
          <t>28%</t>
        </is>
      </c>
      <c r="H24" s="11" t="inlineStr">
        <is>
          <t>28%</t>
        </is>
      </c>
      <c r="I24" s="11" t="inlineStr">
        <is>
          <t>&gt;25%</t>
        </is>
      </c>
    </row>
    <row r="25">
      <c r="A25" s="43" t="inlineStr">
        <is>
          <t>Buildings won/month</t>
        </is>
      </c>
      <c r="B25" s="44" t="inlineStr">
        <is>
          <t>2.75</t>
        </is>
      </c>
      <c r="C25" s="44" t="inlineStr">
        <is>
          <t>4</t>
        </is>
      </c>
      <c r="D25" s="44" t="inlineStr">
        <is>
          <t>7</t>
        </is>
      </c>
      <c r="E25" s="45" t="inlineStr">
        <is>
          <t>10</t>
        </is>
      </c>
      <c r="F25" s="44" t="inlineStr">
        <is>
          <t>15</t>
        </is>
      </c>
      <c r="G25" s="44" t="inlineStr">
        <is>
          <t>19</t>
        </is>
      </c>
      <c r="H25" s="44" t="inlineStr">
        <is>
          <t>23</t>
        </is>
      </c>
      <c r="I25" s="44" t="inlineStr">
        <is>
          <t>20+</t>
        </is>
      </c>
    </row>
    <row r="26">
      <c r="A26" s="42" t="inlineStr">
        <is>
          <t>CAC/building</t>
        </is>
      </c>
      <c r="B26" s="11" t="inlineStr">
        <is>
          <t>$1,900</t>
        </is>
      </c>
      <c r="C26" s="11" t="inlineStr">
        <is>
          <t>$1,290</t>
        </is>
      </c>
      <c r="D26" s="11" t="inlineStr">
        <is>
          <t>$737</t>
        </is>
      </c>
      <c r="E26" s="37" t="inlineStr">
        <is>
          <t>$520</t>
        </is>
      </c>
      <c r="F26" s="11" t="inlineStr">
        <is>
          <t>$530</t>
        </is>
      </c>
      <c r="G26" s="11" t="inlineStr">
        <is>
          <t>$525</t>
        </is>
      </c>
      <c r="H26" s="11" t="inlineStr">
        <is>
          <t>$520</t>
        </is>
      </c>
      <c r="I26" s="11" t="inlineStr">
        <is>
          <t>&lt;$600</t>
        </is>
      </c>
    </row>
    <row r="27">
      <c r="A27" s="42" t="inlineStr">
        <is>
          <t>Impression share</t>
        </is>
      </c>
      <c r="B27" s="11" t="inlineStr">
        <is>
          <t>&lt;10%</t>
        </is>
      </c>
      <c r="C27" s="11" t="inlineStr">
        <is>
          <t>&lt;10%</t>
        </is>
      </c>
      <c r="D27" s="11" t="inlineStr">
        <is>
          <t>&lt;10%</t>
        </is>
      </c>
      <c r="E27" s="37" t="inlineStr">
        <is>
          <t>&lt;10%</t>
        </is>
      </c>
      <c r="F27" s="11" t="inlineStr">
        <is>
          <t>~15%</t>
        </is>
      </c>
      <c r="G27" s="11" t="inlineStr">
        <is>
          <t>~19%</t>
        </is>
      </c>
      <c r="H27" s="11" t="inlineStr">
        <is>
          <t>~23%</t>
        </is>
      </c>
      <c r="I27" s="11" t="inlineStr">
        <is>
          <t>&gt;20%</t>
        </is>
      </c>
    </row>
    <row r="30">
      <c r="A30" s="36" t="inlineStr">
        <is>
          <t>SECTION 3: Campaign Outcome Measures</t>
        </is>
      </c>
    </row>
    <row r="32">
      <c r="A32" s="46" t="inlineStr">
        <is>
          <t>OLD LEAD DATABASE CAMPAIGN</t>
        </is>
      </c>
      <c r="B32" s="64" t="n"/>
      <c r="C32" s="64" t="n"/>
      <c r="D32" s="65" t="n"/>
    </row>
    <row r="33">
      <c r="A33" s="47" t="inlineStr">
        <is>
          <t>Total viable contacts in DB</t>
        </is>
      </c>
      <c r="B33" s="8" t="inlineStr">
        <is>
          <t>TBD (audit W1-W2)</t>
        </is>
      </c>
      <c r="C33" s="64" t="n"/>
      <c r="D33" s="65" t="n"/>
    </row>
    <row r="34">
      <c r="A34" s="47" t="inlineStr">
        <is>
          <t>Contacts reached</t>
        </is>
      </c>
      <c r="B34" s="8" t="inlineStr">
        <is>
          <t>100%</t>
        </is>
      </c>
      <c r="C34" s="64" t="n"/>
      <c r="D34" s="65" t="n"/>
    </row>
    <row r="35">
      <c r="A35" s="47" t="inlineStr">
        <is>
          <t>Response rate</t>
        </is>
      </c>
      <c r="B35" s="8" t="inlineStr">
        <is>
          <t>&gt;15%</t>
        </is>
      </c>
      <c r="C35" s="64" t="n"/>
      <c r="D35" s="65" t="n"/>
    </row>
    <row r="36">
      <c r="A36" s="47" t="inlineStr">
        <is>
          <t>Calls booked from responses</t>
        </is>
      </c>
      <c r="B36" s="8" t="inlineStr">
        <is>
          <t>&gt;30% of responses</t>
        </is>
      </c>
      <c r="C36" s="64" t="n"/>
      <c r="D36" s="65" t="n"/>
    </row>
    <row r="37">
      <c r="A37" s="47" t="inlineStr">
        <is>
          <t>Buildings won (total — finite pool)</t>
        </is>
      </c>
      <c r="B37" s="8" t="inlineStr">
        <is>
          <t>8–12</t>
        </is>
      </c>
      <c r="C37" s="64" t="n"/>
      <c r="D37" s="65" t="n"/>
    </row>
    <row r="38">
      <c r="A38" s="47" t="inlineStr">
        <is>
          <t>Campaign duration</t>
        </is>
      </c>
      <c r="B38" s="8" t="inlineStr">
        <is>
          <t>W4–W18</t>
        </is>
      </c>
      <c r="C38" s="64" t="n"/>
      <c r="D38" s="65" t="n"/>
    </row>
    <row r="39">
      <c r="A39" s="47" t="inlineStr">
        <is>
          <t>Revenue impact</t>
        </is>
      </c>
      <c r="B39" s="8" t="inlineStr">
        <is>
          <t>~$80–96k new ARR</t>
        </is>
      </c>
      <c r="C39" s="64" t="n"/>
      <c r="D39" s="65" t="n"/>
    </row>
    <row r="40">
      <c r="A40" s="47" t="inlineStr">
        <is>
          <t>CAC per building</t>
        </is>
      </c>
      <c r="B40" s="8" t="inlineStr">
        <is>
          <t>$0 ad spend (Khoi time only)</t>
        </is>
      </c>
      <c r="C40" s="64" t="n"/>
      <c r="D40" s="65" t="n"/>
    </row>
    <row r="42">
      <c r="A42" s="49" t="inlineStr">
        <is>
          <t>SBBIS &amp; DEFECTS — NEW REGISTRATION TARGETING</t>
        </is>
      </c>
      <c r="B42" s="64" t="n"/>
      <c r="C42" s="64" t="n"/>
      <c r="D42" s="65" t="n"/>
    </row>
    <row r="43">
      <c r="A43" s="47" t="inlineStr">
        <is>
          <t>New registrations scraped/month</t>
        </is>
      </c>
      <c r="B43" s="8" t="inlineStr">
        <is>
          <t>TBD (agent output)</t>
        </is>
      </c>
      <c r="C43" s="64" t="n"/>
      <c r="D43" s="65" t="n"/>
    </row>
    <row r="44">
      <c r="A44" s="47" t="inlineStr">
        <is>
          <t>Buildings approaching 12-month renewal</t>
        </is>
      </c>
      <c r="B44" s="8" t="inlineStr">
        <is>
          <t>TBD</t>
        </is>
      </c>
      <c r="C44" s="64" t="n"/>
      <c r="D44" s="65" t="n"/>
    </row>
    <row r="45">
      <c r="A45" s="47" t="inlineStr">
        <is>
          <t>Outreach contacts/month</t>
        </is>
      </c>
      <c r="B45" s="8" t="inlineStr">
        <is>
          <t>20+</t>
        </is>
      </c>
      <c r="C45" s="64" t="n"/>
      <c r="D45" s="65" t="n"/>
    </row>
    <row r="46">
      <c r="A46" s="47" t="inlineStr">
        <is>
          <t>Response rate</t>
        </is>
      </c>
      <c r="B46" s="8" t="inlineStr">
        <is>
          <t>&gt;10%</t>
        </is>
      </c>
      <c r="C46" s="64" t="n"/>
      <c r="D46" s="65" t="n"/>
    </row>
    <row r="47">
      <c r="A47" s="47" t="inlineStr">
        <is>
          <t>Discovery calls/month</t>
        </is>
      </c>
      <c r="B47" s="8" t="inlineStr">
        <is>
          <t>2–4</t>
        </is>
      </c>
      <c r="C47" s="64" t="n"/>
      <c r="D47" s="65" t="n"/>
    </row>
    <row r="48">
      <c r="A48" s="47" t="inlineStr">
        <is>
          <t>Buildings won/month</t>
        </is>
      </c>
      <c r="B48" s="8" t="inlineStr">
        <is>
          <t>1–2</t>
        </is>
      </c>
      <c r="C48" s="64" t="n"/>
      <c r="D48" s="65" t="n"/>
    </row>
    <row r="49">
      <c r="A49" s="47" t="inlineStr">
        <is>
          <t>Avg lots per building won</t>
        </is>
      </c>
      <c r="B49" s="8" t="inlineStr">
        <is>
          <t>15–30 (newer SBBIS buildings)</t>
        </is>
      </c>
      <c r="C49" s="64" t="n"/>
      <c r="D49" s="65" t="n"/>
    </row>
    <row r="50">
      <c r="A50" s="47" t="inlineStr">
        <is>
          <t>Revenue per building won/year</t>
        </is>
      </c>
      <c r="B50" s="8" t="inlineStr">
        <is>
          <t>$9–18k ARR</t>
        </is>
      </c>
      <c r="C50" s="64" t="n"/>
      <c r="D50" s="65" t="n"/>
    </row>
    <row r="51">
      <c r="A51" s="47" t="inlineStr">
        <is>
          <t>Google Ads defects campaign cost/conv</t>
        </is>
      </c>
      <c r="B51" s="8" t="inlineStr">
        <is>
          <t>Track separately from main campaigns</t>
        </is>
      </c>
      <c r="C51" s="64" t="n"/>
      <c r="D51" s="65" t="n"/>
    </row>
    <row r="53">
      <c r="A53" s="50" t="inlineStr">
        <is>
          <t>LARGE BUILDING KEY ACCOUNT STRATEGY</t>
        </is>
      </c>
      <c r="B53" s="64" t="n"/>
      <c r="C53" s="64" t="n"/>
      <c r="D53" s="65" t="n"/>
    </row>
    <row r="54">
      <c r="A54" s="47" t="inlineStr">
        <is>
          <t>Target buildings researched</t>
        </is>
      </c>
      <c r="B54" s="8" t="inlineStr">
        <is>
          <t>20–30</t>
        </is>
      </c>
      <c r="C54" s="64" t="n"/>
      <c r="D54" s="65" t="n"/>
    </row>
    <row r="55">
      <c r="A55" s="47" t="inlineStr">
        <is>
          <t>Approaches made/month</t>
        </is>
      </c>
      <c r="B55" s="8" t="inlineStr">
        <is>
          <t>4–8</t>
        </is>
      </c>
      <c r="C55" s="64" t="n"/>
      <c r="D55" s="65" t="n"/>
    </row>
    <row r="56">
      <c r="A56" s="47" t="inlineStr">
        <is>
          <t>Committee meetings secured/month</t>
        </is>
      </c>
      <c r="B56" s="8" t="inlineStr">
        <is>
          <t>1–2</t>
        </is>
      </c>
      <c r="C56" s="64" t="n"/>
      <c r="D56" s="65" t="n"/>
    </row>
    <row r="57">
      <c r="A57" s="47" t="inlineStr">
        <is>
          <t>Proposals delivered/month</t>
        </is>
      </c>
      <c r="B57" s="8" t="inlineStr">
        <is>
          <t>1</t>
        </is>
      </c>
      <c r="C57" s="64" t="n"/>
      <c r="D57" s="65" t="n"/>
    </row>
    <row r="58">
      <c r="A58" s="47" t="inlineStr">
        <is>
          <t>Buildings won/quarter</t>
        </is>
      </c>
      <c r="B58" s="8" t="inlineStr">
        <is>
          <t>1 (70+ lots each)</t>
        </is>
      </c>
      <c r="C58" s="64" t="n"/>
      <c r="D58" s="65" t="n"/>
    </row>
    <row r="59">
      <c r="A59" s="47" t="inlineStr">
        <is>
          <t>Revenue per building won/year</t>
        </is>
      </c>
      <c r="B59" s="8" t="inlineStr">
        <is>
          <t>$28k+ ARR (70 lots × $400/lot)</t>
        </is>
      </c>
      <c r="C59" s="64" t="n"/>
      <c r="D59" s="65" t="n"/>
    </row>
    <row r="60">
      <c r="A60" s="47" t="inlineStr">
        <is>
          <t>Payback period</t>
        </is>
      </c>
      <c r="B60" s="8" t="inlineStr">
        <is>
          <t>N/A (no ad spend — Khoi + Bill time only)</t>
        </is>
      </c>
      <c r="C60" s="64" t="n"/>
      <c r="D60" s="65" t="n"/>
    </row>
    <row r="61">
      <c r="A61" s="47" t="inlineStr">
        <is>
          <t>Win rate on proposals</t>
        </is>
      </c>
      <c r="B61" s="8" t="inlineStr">
        <is>
          <t>&gt;40% (highly targeted)</t>
        </is>
      </c>
      <c r="C61" s="64" t="n"/>
      <c r="D61" s="65" t="n"/>
    </row>
    <row r="64">
      <c r="A64" s="36" t="inlineStr">
        <is>
          <t>SECTION 4: Milestone Gates — Scale Decisions</t>
        </is>
      </c>
    </row>
    <row r="65">
      <c r="A65" s="2" t="inlineStr">
        <is>
          <t>Gate</t>
        </is>
      </c>
      <c r="B65" s="2" t="inlineStr">
        <is>
          <t>Condition</t>
        </is>
      </c>
      <c r="C65" s="2" t="inlineStr">
        <is>
          <t>Target Date</t>
        </is>
      </c>
      <c r="D65" s="2" t="inlineStr">
        <is>
          <t>Budget Decision</t>
        </is>
      </c>
      <c r="E65" s="2" t="inlineStr">
        <is>
          <t>Status</t>
        </is>
      </c>
      <c r="F65" s="2" t="inlineStr">
        <is>
          <t>Notes</t>
        </is>
      </c>
    </row>
    <row r="66">
      <c r="A66" s="8" t="inlineStr">
        <is>
          <t>Gate 1</t>
        </is>
      </c>
      <c r="B66" s="10" t="inlineStr">
        <is>
          <t>Google Ads producing 10+ bldgs/month at current $5.2k spend</t>
        </is>
      </c>
      <c r="C66" s="11" t="inlineStr">
        <is>
          <t>Week 12 (Jul)</t>
        </is>
      </c>
      <c r="D66" s="11" t="inlineStr">
        <is>
          <t>Scale budget to $8k/month</t>
        </is>
      </c>
      <c r="E66" s="37" t="inlineStr"/>
      <c r="F66" s="11" t="inlineStr"/>
    </row>
    <row r="67">
      <c r="A67" s="8" t="inlineStr">
        <is>
          <t>Gate 2</t>
        </is>
      </c>
      <c r="B67" s="10" t="inlineStr">
        <is>
          <t>CAC holds at &lt;$600 at $8k spend</t>
        </is>
      </c>
      <c r="C67" s="11" t="inlineStr">
        <is>
          <t>Week 16 (Aug)</t>
        </is>
      </c>
      <c r="D67" s="11" t="inlineStr">
        <is>
          <t>Scale to $10k/month</t>
        </is>
      </c>
      <c r="E67" s="37" t="inlineStr"/>
      <c r="F67" s="11" t="inlineStr"/>
    </row>
    <row r="68">
      <c r="A68" s="8" t="inlineStr">
        <is>
          <t>Gate 3</t>
        </is>
      </c>
      <c r="B68" s="10" t="inlineStr">
        <is>
          <t>CAC holds at &lt;$600 at $10k spend</t>
        </is>
      </c>
      <c r="C68" s="11" t="inlineStr">
        <is>
          <t>Week 20 (Sep)</t>
        </is>
      </c>
      <c r="D68" s="11" t="inlineStr">
        <is>
          <t>Scale to $12k/month</t>
        </is>
      </c>
      <c r="E68" s="37" t="inlineStr"/>
      <c r="F68" s="11" t="inlineStr"/>
    </row>
    <row r="69">
      <c r="A69" s="8" t="inlineStr">
        <is>
          <t>Gate 4</t>
        </is>
      </c>
      <c r="B69" s="10" t="inlineStr">
        <is>
          <t>Channel mix review — which campaigns delivering best ROI?</t>
        </is>
      </c>
      <c r="C69" s="11" t="inlineStr">
        <is>
          <t>Week 13 (Jul)</t>
        </is>
      </c>
      <c r="D69" s="11" t="inlineStr">
        <is>
          <t>Double down or pivot</t>
        </is>
      </c>
      <c r="E69" s="37" t="inlineStr"/>
      <c r="F69" s="11" t="inlineStr"/>
    </row>
    <row r="70">
      <c r="A70" s="8" t="inlineStr">
        <is>
          <t>Gate 5</t>
        </is>
      </c>
      <c r="B70" s="10" t="inlineStr">
        <is>
          <t>Lead database exhausted — shift Khoi time to outbound</t>
        </is>
      </c>
      <c r="C70" s="11" t="inlineStr">
        <is>
          <t>Week 18 (Aug)</t>
        </is>
      </c>
      <c r="D70" s="11" t="inlineStr">
        <is>
          <t>Reallocate hours</t>
        </is>
      </c>
      <c r="E70" s="37" t="inlineStr"/>
      <c r="F70" s="11" t="inlineStr"/>
    </row>
    <row r="73">
      <c r="A73" s="36" t="inlineStr">
        <is>
          <t>SECTION 5: AI GTM Platform — Architecture Deliverables</t>
        </is>
      </c>
    </row>
    <row r="74">
      <c r="A74" s="66" t="inlineStr">
        <is>
          <t>AI GTM PLATFORM (Business Asset)</t>
        </is>
      </c>
      <c r="B74" s="67" t="n"/>
      <c r="C74" s="67" t="n"/>
      <c r="D74" s="67" t="n"/>
    </row>
    <row r="75">
      <c r="A75" s="47" t="inlineStr">
        <is>
          <t>Manual workflow documentation</t>
        </is>
      </c>
      <c r="B75" s="8" t="inlineStr">
        <is>
          <t>Complete by W8 — every marketing + sales step documented</t>
        </is>
      </c>
      <c r="C75" s="48" t="n"/>
      <c r="D75" s="48" t="n"/>
    </row>
    <row r="76">
      <c r="A76" s="47" t="inlineStr">
        <is>
          <t>System integration map</t>
        </is>
      </c>
      <c r="B76" s="8" t="inlineStr">
        <is>
          <t>Complete by W9 — HubSpot/Zendesk/Ads/StrataMax data flows</t>
        </is>
      </c>
      <c r="C76" s="48" t="n"/>
      <c r="D76" s="48" t="n"/>
    </row>
    <row r="77">
      <c r="A77" s="47" t="inlineStr">
        <is>
          <t>Automation priority backlog</t>
        </is>
      </c>
      <c r="B77" s="8" t="inlineStr">
        <is>
          <t>Complete by W10 — ranked by ROI/complexity</t>
        </is>
      </c>
      <c r="C77" s="48" t="n"/>
      <c r="D77" s="48" t="n"/>
    </row>
    <row r="78">
      <c r="A78" s="47" t="inlineStr">
        <is>
          <t>AI agent specifications</t>
        </is>
      </c>
      <c r="B78" s="8" t="inlineStr">
        <is>
          <t>Complete by W11 — maps to AI CMO swarm architecture</t>
        </is>
      </c>
      <c r="C78" s="48" t="n"/>
      <c r="D78" s="48" t="n"/>
    </row>
    <row r="79">
      <c r="A79" s="47" t="inlineStr">
        <is>
          <t>AI GTM Architecture Spec</t>
        </is>
      </c>
      <c r="B79" s="8" t="inlineStr">
        <is>
          <t>Delivered W12 — engineering handover document</t>
        </is>
      </c>
      <c r="C79" s="48" t="n"/>
      <c r="D79" s="48" t="n"/>
    </row>
    <row r="80">
      <c r="A80" s="47" t="inlineStr">
        <is>
          <t>First automations live</t>
        </is>
      </c>
      <c r="B80" s="8" t="inlineStr">
        <is>
          <t>W13+ — HubSpot→Zendesk, lead scoring, nurture workflows</t>
        </is>
      </c>
      <c r="C80" s="48" t="n"/>
      <c r="D80" s="48" t="n"/>
    </row>
    <row r="81">
      <c r="A81" s="47" t="inlineStr">
        <is>
          <t>Proposal automation</t>
        </is>
      </c>
      <c r="B81" s="8" t="inlineStr">
        <is>
          <t>W14-W20 — auto-generated from lead data</t>
        </is>
      </c>
      <c r="C81" s="48" t="n"/>
      <c r="D81" s="48" t="n"/>
    </row>
    <row r="82">
      <c r="A82" s="47" t="inlineStr">
        <is>
          <t>Outbound automation</t>
        </is>
      </c>
      <c r="B82" s="8" t="inlineStr">
        <is>
          <t>W16-W22 — scraper→target list→outreach pipeline</t>
        </is>
      </c>
      <c r="C82" s="48" t="n"/>
      <c r="D82" s="48" t="n"/>
    </row>
    <row r="83">
      <c r="A83" s="47" t="inlineStr">
        <is>
          <t>Platform covers marketing</t>
        </is>
      </c>
      <c r="B83" s="8" t="inlineStr">
        <is>
          <t>Paid acquisition, landing pages, content, lead capture, scoring, nurture, campaign analytics</t>
        </is>
      </c>
      <c r="C83" s="48" t="n"/>
      <c r="D83" s="48" t="n"/>
    </row>
    <row r="84">
      <c r="A84" s="47" t="inlineStr">
        <is>
          <t>Platform covers sales</t>
        </is>
      </c>
      <c r="B84" s="8" t="inlineStr">
        <is>
          <t>Proposal generation, pricing engine, pipeline management, follow-up, close support</t>
        </is>
      </c>
      <c r="C84" s="48" t="n"/>
      <c r="D84" s="48" t="n"/>
    </row>
    <row r="86">
      <c r="A86" s="68" t="inlineStr">
        <is>
          <t>AI GTM is a capital asset — it scales without headcount, transfers to a GM, and is a component of MTS's $20m Year 5 equity value. Khoi architects; Quang's team builds; the platform endures.</t>
        </is>
      </c>
    </row>
  </sheetData>
  <mergeCells count="48">
    <mergeCell ref="B60:D60"/>
    <mergeCell ref="A14:J14"/>
    <mergeCell ref="A53:D53"/>
    <mergeCell ref="B61:D61"/>
    <mergeCell ref="B57:D57"/>
    <mergeCell ref="A3:I3"/>
    <mergeCell ref="B44:D44"/>
    <mergeCell ref="B78:D78"/>
    <mergeCell ref="B82:D82"/>
    <mergeCell ref="A86:F86"/>
    <mergeCell ref="B38:D38"/>
    <mergeCell ref="B34:D34"/>
    <mergeCell ref="B37:D37"/>
    <mergeCell ref="B49:D49"/>
    <mergeCell ref="B84:D84"/>
    <mergeCell ref="B40:D40"/>
    <mergeCell ref="B83:D83"/>
    <mergeCell ref="B55:D55"/>
    <mergeCell ref="F15:H15"/>
    <mergeCell ref="B51:D51"/>
    <mergeCell ref="B33:D33"/>
    <mergeCell ref="B36:D36"/>
    <mergeCell ref="B80:D80"/>
    <mergeCell ref="B76:D76"/>
    <mergeCell ref="B45:D45"/>
    <mergeCell ref="B79:D79"/>
    <mergeCell ref="B35:D35"/>
    <mergeCell ref="B50:D50"/>
    <mergeCell ref="B75:D75"/>
    <mergeCell ref="C15:E15"/>
    <mergeCell ref="B47:D47"/>
    <mergeCell ref="A30:I30"/>
    <mergeCell ref="B54:D54"/>
    <mergeCell ref="A64:F64"/>
    <mergeCell ref="A73:F73"/>
    <mergeCell ref="B81:D81"/>
    <mergeCell ref="B59:D59"/>
    <mergeCell ref="A74:D74"/>
    <mergeCell ref="B46:D46"/>
    <mergeCell ref="B77:D77"/>
    <mergeCell ref="A1:I1"/>
    <mergeCell ref="B56:D56"/>
    <mergeCell ref="B58:D58"/>
    <mergeCell ref="B43:D43"/>
    <mergeCell ref="B39:D39"/>
    <mergeCell ref="A42:D42"/>
    <mergeCell ref="A32:D32"/>
    <mergeCell ref="B48:D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8" customWidth="1" min="1" max="1"/>
    <col width="30" customWidth="1" min="2" max="2"/>
    <col width="45" customWidth="1" min="3" max="3"/>
    <col width="35" customWidth="1" min="4" max="4"/>
    <col width="18" customWidth="1" min="5" max="5"/>
    <col width="14" customWidth="1" min="6" max="6"/>
    <col width="12" customWidth="1" min="7" max="7"/>
    <col width="38" customWidth="1" min="8" max="8"/>
  </cols>
  <sheetData>
    <row r="1">
      <c r="A1" s="1" t="inlineStr">
        <is>
          <t>The Path to 10 Buildings/Month — Google Ads Optimisation Roadmap</t>
        </is>
      </c>
    </row>
    <row r="3">
      <c r="A3" s="51" t="inlineStr">
        <is>
          <t>CURRENT STATE</t>
        </is>
      </c>
      <c r="F3" s="53" t="inlineStr">
        <is>
          <t>TARGET STATE (Month 3)</t>
        </is>
      </c>
    </row>
    <row r="4">
      <c r="A4" s="55" t="inlineStr">
        <is>
          <t>Buildings won/month</t>
        </is>
      </c>
      <c r="B4" s="56" t="inlineStr">
        <is>
          <t>2.75</t>
        </is>
      </c>
      <c r="C4" s="64" t="n"/>
      <c r="D4" s="65" t="n"/>
      <c r="F4" s="55" t="inlineStr">
        <is>
          <t>Buildings won/month</t>
        </is>
      </c>
      <c r="G4" s="57" t="inlineStr">
        <is>
          <t>10+</t>
        </is>
      </c>
      <c r="H4" s="65" t="n"/>
    </row>
    <row r="5">
      <c r="A5" s="55" t="inlineStr">
        <is>
          <t>True CAC/building</t>
        </is>
      </c>
      <c r="B5" s="56" t="inlineStr">
        <is>
          <t>$1,900</t>
        </is>
      </c>
      <c r="C5" s="64" t="n"/>
      <c r="D5" s="65" t="n"/>
      <c r="F5" s="55" t="inlineStr">
        <is>
          <t>True CAC/building</t>
        </is>
      </c>
      <c r="G5" s="57" t="inlineStr">
        <is>
          <t>~$520</t>
        </is>
      </c>
      <c r="H5" s="65" t="n"/>
    </row>
    <row r="6">
      <c r="A6" s="55" t="inlineStr">
        <is>
          <t>Impression share</t>
        </is>
      </c>
      <c r="B6" s="56" t="inlineStr">
        <is>
          <t>&lt;10%</t>
        </is>
      </c>
      <c r="C6" s="64" t="n"/>
      <c r="D6" s="65" t="n"/>
      <c r="E6" s="58" t="inlineStr">
        <is>
          <t>→</t>
        </is>
      </c>
      <c r="F6" s="55" t="inlineStr">
        <is>
          <t>Impression share</t>
        </is>
      </c>
      <c r="G6" s="57" t="inlineStr">
        <is>
          <t>&lt;10% (same budget)</t>
        </is>
      </c>
      <c r="H6" s="65" t="n"/>
    </row>
    <row r="7">
      <c r="A7" s="55" t="inlineStr">
        <is>
          <t>Forms/month</t>
        </is>
      </c>
      <c r="B7" s="56" t="inlineStr">
        <is>
          <t>31</t>
        </is>
      </c>
      <c r="C7" s="64" t="n"/>
      <c r="D7" s="65" t="n"/>
      <c r="F7" s="55" t="inlineStr">
        <is>
          <t>Forms/month</t>
        </is>
      </c>
      <c r="G7" s="57" t="inlineStr">
        <is>
          <t>57</t>
        </is>
      </c>
      <c r="H7" s="65" t="n"/>
    </row>
    <row r="8">
      <c r="A8" s="55" t="inlineStr">
        <is>
          <t>Form-to-call rate</t>
        </is>
      </c>
      <c r="B8" s="56" t="inlineStr">
        <is>
          <t>50%</t>
        </is>
      </c>
      <c r="C8" s="64" t="n"/>
      <c r="D8" s="65" t="n"/>
      <c r="F8" s="55" t="inlineStr">
        <is>
          <t>Form-to-call rate</t>
        </is>
      </c>
      <c r="G8" s="57" t="inlineStr">
        <is>
          <t>62%</t>
        </is>
      </c>
      <c r="H8" s="65" t="n"/>
    </row>
    <row r="9">
      <c r="A9" s="55" t="inlineStr">
        <is>
          <t>Call-to-won rate</t>
        </is>
      </c>
      <c r="B9" s="56" t="inlineStr">
        <is>
          <t>27.5%</t>
        </is>
      </c>
      <c r="C9" s="64" t="n"/>
      <c r="D9" s="65" t="n"/>
      <c r="F9" s="55" t="inlineStr">
        <is>
          <t>Call-to-won rate</t>
        </is>
      </c>
      <c r="G9" s="57" t="inlineStr">
        <is>
          <t>28%</t>
        </is>
      </c>
      <c r="H9" s="65" t="n"/>
    </row>
    <row r="10">
      <c r="A10" s="55" t="inlineStr">
        <is>
          <t>Monthly ad spend</t>
        </is>
      </c>
      <c r="B10" s="56" t="inlineStr">
        <is>
          <t>$5,162</t>
        </is>
      </c>
      <c r="C10" s="64" t="n"/>
      <c r="D10" s="65" t="n"/>
      <c r="F10" s="55" t="inlineStr">
        <is>
          <t>Monthly ad spend</t>
        </is>
      </c>
      <c r="G10" s="57" t="inlineStr">
        <is>
          <t>$5,162 (unchanged)</t>
        </is>
      </c>
      <c r="H10" s="65" t="n"/>
    </row>
    <row r="12">
      <c r="A12" s="36" t="inlineStr">
        <is>
          <t>WHAT GETS US TO 10 — Lever-by-Lever Bridge</t>
        </is>
      </c>
    </row>
    <row r="13">
      <c r="A13" s="2" t="inlineStr">
        <is>
          <t>#</t>
        </is>
      </c>
      <c r="B13" s="2" t="inlineStr">
        <is>
          <t>Lever</t>
        </is>
      </c>
      <c r="C13" s="2" t="inlineStr">
        <is>
          <t>Current</t>
        </is>
      </c>
      <c r="D13" s="2" t="inlineStr">
        <is>
          <t>Target</t>
        </is>
      </c>
      <c r="E13" s="2" t="inlineStr">
        <is>
          <t>Extra Bldgs/Month</t>
        </is>
      </c>
      <c r="F13" s="2" t="inlineStr">
        <is>
          <t>When</t>
        </is>
      </c>
      <c r="G13" s="2" t="inlineStr">
        <is>
          <t>Owner</t>
        </is>
      </c>
      <c r="H13" s="2" t="inlineStr">
        <is>
          <t>How We Know It's Working</t>
        </is>
      </c>
    </row>
    <row r="14">
      <c r="A14" s="11" t="inlineStr">
        <is>
          <t>1</t>
        </is>
      </c>
      <c r="B14" s="10" t="inlineStr">
        <is>
          <t>Waste elimination + ad redirects</t>
        </is>
      </c>
      <c r="C14" s="11" t="inlineStr">
        <is>
          <t>$866/mo wasted</t>
        </is>
      </c>
      <c r="D14" s="11" t="inlineStr">
        <is>
          <t>$0 wasted</t>
        </is>
      </c>
      <c r="E14" s="11" t="inlineStr">
        <is>
          <t>+1.0</t>
        </is>
      </c>
      <c r="F14" s="11" t="inlineStr">
        <is>
          <t>W1–W2</t>
        </is>
      </c>
      <c r="G14" s="11" t="inlineStr">
        <is>
          <t>Khoi</t>
        </is>
      </c>
      <c r="H14" s="10" t="inlineStr">
        <is>
          <t>Spend redeployed to converting keywords</t>
        </is>
      </c>
    </row>
    <row r="15">
      <c r="A15" s="11" t="inlineStr">
        <is>
          <t>2</t>
        </is>
      </c>
      <c r="B15" s="10" t="inlineStr">
        <is>
          <t>CPC reduction (quality score fix)</t>
        </is>
      </c>
      <c r="C15" s="11" t="inlineStr">
        <is>
          <t>$8.40 CPC</t>
        </is>
      </c>
      <c r="D15" s="11" t="inlineStr">
        <is>
          <t>$6.30 CPC</t>
        </is>
      </c>
      <c r="E15" s="11" t="inlineStr">
        <is>
          <t>+2.0</t>
        </is>
      </c>
      <c r="F15" s="11" t="inlineStr">
        <is>
          <t>W7–W12</t>
        </is>
      </c>
      <c r="G15" s="11" t="inlineStr">
        <is>
          <t>Khoi</t>
        </is>
      </c>
      <c r="H15" s="10" t="inlineStr">
        <is>
          <t>Quality scores improving on top 5 keywords</t>
        </is>
      </c>
    </row>
    <row r="16">
      <c r="A16" s="11" t="inlineStr">
        <is>
          <t>3</t>
        </is>
      </c>
      <c r="B16" s="10" t="inlineStr">
        <is>
          <t>Landing page conversion lift</t>
        </is>
      </c>
      <c r="C16" s="11" t="inlineStr">
        <is>
          <t>5.0% click→form</t>
        </is>
      </c>
      <c r="D16" s="11" t="inlineStr">
        <is>
          <t>7.0% click→form</t>
        </is>
      </c>
      <c r="E16" s="11" t="inlineStr">
        <is>
          <t>+2.5</t>
        </is>
      </c>
      <c r="F16" s="11" t="inlineStr">
        <is>
          <t>W5–W10</t>
        </is>
      </c>
      <c r="G16" s="11" t="inlineStr">
        <is>
          <t>Khoi</t>
        </is>
      </c>
      <c r="H16" s="10" t="inlineStr">
        <is>
          <t>/responsive-service/ + new pages outperform old</t>
        </is>
      </c>
    </row>
    <row r="17">
      <c r="A17" s="11" t="inlineStr">
        <is>
          <t>4</t>
        </is>
      </c>
      <c r="B17" s="10" t="inlineStr">
        <is>
          <t>Form-to-call improvement</t>
        </is>
      </c>
      <c r="C17" s="11" t="inlineStr">
        <is>
          <t>50%</t>
        </is>
      </c>
      <c r="D17" s="11" t="inlineStr">
        <is>
          <t>62%</t>
        </is>
      </c>
      <c r="E17" s="11" t="inlineStr">
        <is>
          <t>+1.5</t>
        </is>
      </c>
      <c r="F17" s="11" t="inlineStr">
        <is>
          <t>W3–W8</t>
        </is>
      </c>
      <c r="G17" s="11" t="inlineStr">
        <is>
          <t>Khoi</t>
        </is>
      </c>
      <c r="H17" s="10" t="inlineStr">
        <is>
          <t>Fewer junk leads; Khoi follow-up converting non-responders</t>
        </is>
      </c>
    </row>
    <row r="18">
      <c r="A18" s="11" t="inlineStr">
        <is>
          <t>5</t>
        </is>
      </c>
      <c r="B18" s="10" t="inlineStr">
        <is>
          <t>Old lead database reactivation</t>
        </is>
      </c>
      <c r="C18" s="11" t="inlineStr">
        <is>
          <t>0 bldgs/month</t>
        </is>
      </c>
      <c r="D18" s="11" t="inlineStr">
        <is>
          <t>2–3 bldgs/month</t>
        </is>
      </c>
      <c r="E18" s="11" t="inlineStr">
        <is>
          <t>+2.5</t>
        </is>
      </c>
      <c r="F18" s="11" t="inlineStr">
        <is>
          <t>W4–W12</t>
        </is>
      </c>
      <c r="G18" s="11" t="inlineStr">
        <is>
          <t>Khoi</t>
        </is>
      </c>
      <c r="H18" s="10" t="inlineStr">
        <is>
          <t>Calls booked from dormant contacts</t>
        </is>
      </c>
    </row>
    <row r="19">
      <c r="A19" s="11" t="inlineStr">
        <is>
          <t>6</t>
        </is>
      </c>
      <c r="B19" s="10" t="inlineStr">
        <is>
          <t>Defects/SBBIS campaign</t>
        </is>
      </c>
      <c r="C19" s="11" t="inlineStr">
        <is>
          <t>0 bldgs/month</t>
        </is>
      </c>
      <c r="D19" s="11" t="inlineStr">
        <is>
          <t>0.5–1 bldgs/month</t>
        </is>
      </c>
      <c r="E19" s="11" t="inlineStr">
        <is>
          <t>+0.75</t>
        </is>
      </c>
      <c r="F19" s="11" t="inlineStr">
        <is>
          <t>W7–W16</t>
        </is>
      </c>
      <c r="G19" s="11" t="inlineStr">
        <is>
          <t>Khoi</t>
        </is>
      </c>
      <c r="H19" s="10" t="inlineStr">
        <is>
          <t>New registrations contacted, responses received</t>
        </is>
      </c>
    </row>
    <row r="20">
      <c r="A20" s="57" t="inlineStr">
        <is>
          <t>TOTAL INCREMENTAL</t>
        </is>
      </c>
      <c r="B20" s="64" t="n"/>
      <c r="C20" s="64" t="n"/>
      <c r="D20" s="65" t="n"/>
      <c r="E20" s="60" t="inlineStr">
        <is>
          <t>+10.25</t>
        </is>
      </c>
      <c r="F20" s="61" t="inlineStr">
        <is>
          <t>From 2.75 → ~13 buildings/month (exceeds 10 target)</t>
        </is>
      </c>
      <c r="G20" s="64" t="n"/>
      <c r="H20" s="65" t="n"/>
    </row>
    <row r="22">
      <c r="A22" s="36" t="inlineStr">
        <is>
          <t>EXPECTED MONTHLY PROGRESSION (Google Ads only, same budget)</t>
        </is>
      </c>
    </row>
    <row r="23">
      <c r="A23" s="2" t="inlineStr">
        <is>
          <t>Metric</t>
        </is>
      </c>
      <c r="B23" s="2" t="inlineStr">
        <is>
          <t>Month 1 (May)</t>
        </is>
      </c>
      <c r="C23" s="2" t="inlineStr">
        <is>
          <t>Month 2 (Jun)</t>
        </is>
      </c>
      <c r="D23" s="2" t="inlineStr">
        <is>
          <t>Month 3 (Jul)</t>
        </is>
      </c>
    </row>
    <row r="24">
      <c r="A24" s="55" t="inlineStr">
        <is>
          <t>CPC</t>
        </is>
      </c>
      <c r="B24" s="11" t="inlineStr">
        <is>
          <t>$8.00</t>
        </is>
      </c>
      <c r="C24" s="11" t="inlineStr">
        <is>
          <t>$7.20</t>
        </is>
      </c>
      <c r="D24" s="45" t="inlineStr">
        <is>
          <t>$6.30</t>
        </is>
      </c>
    </row>
    <row r="25">
      <c r="A25" s="55" t="inlineStr">
        <is>
          <t>Clicks</t>
        </is>
      </c>
      <c r="B25" s="11" t="inlineStr">
        <is>
          <t>645</t>
        </is>
      </c>
      <c r="C25" s="11" t="inlineStr">
        <is>
          <t>717</t>
        </is>
      </c>
      <c r="D25" s="45" t="inlineStr">
        <is>
          <t>820</t>
        </is>
      </c>
    </row>
    <row r="26">
      <c r="A26" s="55" t="inlineStr">
        <is>
          <t>Forms</t>
        </is>
      </c>
      <c r="B26" s="11" t="inlineStr">
        <is>
          <t>35</t>
        </is>
      </c>
      <c r="C26" s="11" t="inlineStr">
        <is>
          <t>43</t>
        </is>
      </c>
      <c r="D26" s="45" t="inlineStr">
        <is>
          <t>57</t>
        </is>
      </c>
    </row>
    <row r="27">
      <c r="A27" s="55" t="inlineStr">
        <is>
          <t>Calls</t>
        </is>
      </c>
      <c r="B27" s="11" t="inlineStr">
        <is>
          <t>18</t>
        </is>
      </c>
      <c r="C27" s="11" t="inlineStr">
        <is>
          <t>24</t>
        </is>
      </c>
      <c r="D27" s="45" t="inlineStr">
        <is>
          <t>35</t>
        </is>
      </c>
    </row>
    <row r="28">
      <c r="A28" s="62" t="inlineStr">
        <is>
          <t>Buildings won</t>
        </is>
      </c>
      <c r="B28" s="44" t="inlineStr">
        <is>
          <t>4</t>
        </is>
      </c>
      <c r="C28" s="44" t="inlineStr">
        <is>
          <t>7</t>
        </is>
      </c>
      <c r="D28" s="44" t="inlineStr">
        <is>
          <t>10</t>
        </is>
      </c>
    </row>
    <row r="29">
      <c r="A29" s="55" t="inlineStr">
        <is>
          <t>CAC/building</t>
        </is>
      </c>
      <c r="B29" s="11" t="inlineStr">
        <is>
          <t>$1,290</t>
        </is>
      </c>
      <c r="C29" s="11" t="inlineStr">
        <is>
          <t>$737</t>
        </is>
      </c>
      <c r="D29" s="45" t="inlineStr">
        <is>
          <t>$520</t>
        </is>
      </c>
    </row>
    <row r="31">
      <c r="A31" s="63" t="inlineStr">
        <is>
          <t>KEY: All improvements from the SAME $5,162/month spend. No budget increase needed to hit 10 buildings. Scale budget AFTER proving the optimised funnel works.</t>
        </is>
      </c>
    </row>
    <row r="33">
      <c r="A33" s="36" t="inlineStr">
        <is>
          <t>AI GTM PLATFORM — 90-Day Architecture Deliverable</t>
        </is>
      </c>
    </row>
    <row r="34" ht="40" customHeight="1">
      <c r="A34" s="69" t="inlineStr">
        <is>
          <t>Khoi doesn't just execute the growth plan — he architects the AI system that replaces the manual work. Every workflow he runs manually becomes the spec for the automated platform. By Week 12, the AI GTM Architecture Spec is delivered to engineering.</t>
        </is>
      </c>
    </row>
    <row r="36">
      <c r="A36" s="70" t="inlineStr">
        <is>
          <t>Phase</t>
        </is>
      </c>
      <c r="B36" s="70" t="inlineStr">
        <is>
          <t>Weeks</t>
        </is>
      </c>
      <c r="C36" s="70" t="inlineStr">
        <is>
          <t>What Khoi Does</t>
        </is>
      </c>
      <c r="D36" s="70" t="inlineStr">
        <is>
          <t>What It Becomes</t>
        </is>
      </c>
    </row>
    <row r="37">
      <c r="A37" s="8" t="inlineStr">
        <is>
          <t>Execute &amp; Document</t>
        </is>
      </c>
      <c r="B37" s="11" t="inlineStr">
        <is>
          <t>W4-W8</t>
        </is>
      </c>
      <c r="C37" s="10" t="inlineStr">
        <is>
          <t>Runs every GTM workflow manually, documents each step: inputs, outputs, systems, time, decisions</t>
        </is>
      </c>
      <c r="D37" s="10" t="inlineStr">
        <is>
          <t>Requirements document for automation</t>
        </is>
      </c>
    </row>
    <row r="38">
      <c r="A38" s="8" t="inlineStr">
        <is>
          <t>Map &amp; Prioritise</t>
        </is>
      </c>
      <c r="B38" s="11" t="inlineStr">
        <is>
          <t>W8-W10</t>
        </is>
      </c>
      <c r="C38" s="10" t="inlineStr">
        <is>
          <t>Maps data flows between systems, identifies what's automatable, ranks by ROI vs complexity</t>
        </is>
      </c>
      <c r="D38" s="10" t="inlineStr">
        <is>
          <t>Integration architecture + automation backlog</t>
        </is>
      </c>
    </row>
    <row r="39">
      <c r="A39" s="8" t="inlineStr">
        <is>
          <t>Specify</t>
        </is>
      </c>
      <c r="B39" s="11" t="inlineStr">
        <is>
          <t>W9-W12</t>
        </is>
      </c>
      <c r="C39" s="10" t="inlineStr">
        <is>
          <t>Defines AI agent specs: what each does, guardrails, human-in-the-loop points. Maps to AI CMO swarm</t>
        </is>
      </c>
      <c r="D39" s="10" t="inlineStr">
        <is>
          <t>AI GTM Architecture Spec — engineering handover</t>
        </is>
      </c>
    </row>
    <row r="40">
      <c r="A40" s="8" t="inlineStr">
        <is>
          <t>Build</t>
        </is>
      </c>
      <c r="B40" s="11" t="inlineStr">
        <is>
          <t>W13-W26</t>
        </is>
      </c>
      <c r="C40" s="10" t="inlineStr">
        <is>
          <t>Works with Quang to build: HubSpot→Zendesk integration, nurture workflows, proposal automation, outbound pipeline</t>
        </is>
      </c>
      <c r="D40" s="10" t="inlineStr">
        <is>
          <t>Live AI GTM platform — a business asset</t>
        </is>
      </c>
    </row>
    <row r="42">
      <c r="A42" s="71" t="inlineStr">
        <is>
          <t>ASSET VALUE: The AI GTM platform scales without headcount, transfers to a GM, feeds the Block/acquisition thesis, and is a component of MTS's $20m equity value at Year 5.</t>
        </is>
      </c>
      <c r="B42" s="72" t="n"/>
      <c r="C42" s="72" t="n"/>
      <c r="D42" s="72" t="n"/>
      <c r="E42" s="72" t="n"/>
      <c r="F42" s="72" t="n"/>
      <c r="G42" s="72" t="n"/>
      <c r="H42" s="72" t="n"/>
    </row>
  </sheetData>
  <mergeCells count="25">
    <mergeCell ref="F20:H20"/>
    <mergeCell ref="B8:D8"/>
    <mergeCell ref="A20:D20"/>
    <mergeCell ref="F3:H3"/>
    <mergeCell ref="A1:H1"/>
    <mergeCell ref="G8:H8"/>
    <mergeCell ref="B10:D10"/>
    <mergeCell ref="G7:H7"/>
    <mergeCell ref="G10:H10"/>
    <mergeCell ref="B9:D9"/>
    <mergeCell ref="G6:H6"/>
    <mergeCell ref="B6:D6"/>
    <mergeCell ref="A12:H12"/>
    <mergeCell ref="B5:D5"/>
    <mergeCell ref="B4:D4"/>
    <mergeCell ref="G5:H5"/>
    <mergeCell ref="A42:H42"/>
    <mergeCell ref="A33:H33"/>
    <mergeCell ref="B7:D7"/>
    <mergeCell ref="A22:H22"/>
    <mergeCell ref="G4:H4"/>
    <mergeCell ref="A3:D3"/>
    <mergeCell ref="G9:H9"/>
    <mergeCell ref="A31:H31"/>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2026-04-12T02:38:14Z</dcterms:created>
  <dcterms:modified xmlns:dcterms="http://purl.org/dc/terms/" xmlns:xsi="http://www.w3.org/2001/XMLSchema-instance" xsi:type="dcterms:W3CDTF">2026-04-12T06:01:51Z</dcterms:modified>
</cp:coreProperties>
</file>